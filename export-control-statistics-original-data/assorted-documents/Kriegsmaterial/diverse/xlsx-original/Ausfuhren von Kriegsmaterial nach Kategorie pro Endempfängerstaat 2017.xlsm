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DieseArbeitsmappe"/>
  <mc:AlternateContent xmlns:mc="http://schemas.openxmlformats.org/markup-compatibility/2006">
    <mc:Choice Requires="x15">
      <x15ac:absPath xmlns:x15ac="http://schemas.microsoft.com/office/spreadsheetml/2010/11/ac" url="\\adb.intra.admin.ch\Userhome$\All\config\Desktop\"/>
    </mc:Choice>
  </mc:AlternateContent>
  <bookViews>
    <workbookView xWindow="-15" yWindow="-15" windowWidth="9795" windowHeight="5880" tabRatio="772"/>
  </bookViews>
  <sheets>
    <sheet name="KM pro Land" sheetId="1" r:id="rId1"/>
  </sheets>
  <definedNames>
    <definedName name="_xlnm.Print_Titles" localSheetId="0">'KM pro Land'!$8:$10</definedName>
    <definedName name="_xlnm.Print_Area" localSheetId="0">'KM pro Land'!$A:$O</definedName>
  </definedNames>
  <calcPr calcId="162913"/>
</workbook>
</file>

<file path=xl/calcChain.xml><?xml version="1.0" encoding="utf-8"?>
<calcChain xmlns="http://schemas.openxmlformats.org/spreadsheetml/2006/main">
  <c r="D11" i="1" l="1"/>
  <c r="D74" i="1" l="1"/>
  <c r="D27" i="1"/>
  <c r="D22" i="1"/>
  <c r="D14" i="1" l="1"/>
  <c r="D80" i="1" l="1"/>
  <c r="D64" i="1"/>
  <c r="D63" i="1"/>
  <c r="D54" i="1"/>
  <c r="D13" i="1"/>
  <c r="D15" i="1"/>
  <c r="D16" i="1"/>
  <c r="D17" i="1"/>
  <c r="D18" i="1"/>
  <c r="D19" i="1"/>
  <c r="D20" i="1"/>
  <c r="D21" i="1"/>
  <c r="D23" i="1"/>
  <c r="D24" i="1"/>
  <c r="D25" i="1"/>
  <c r="D26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9" i="1"/>
  <c r="D53" i="1"/>
  <c r="D55" i="1"/>
  <c r="D56" i="1"/>
  <c r="D57" i="1"/>
  <c r="D58" i="1"/>
  <c r="D61" i="1"/>
  <c r="D62" i="1"/>
  <c r="D65" i="1"/>
  <c r="D66" i="1"/>
  <c r="D67" i="1"/>
  <c r="D68" i="1"/>
  <c r="D69" i="1"/>
  <c r="D70" i="1"/>
  <c r="D71" i="1"/>
  <c r="D72" i="1"/>
  <c r="D73" i="1"/>
  <c r="D75" i="1"/>
  <c r="D76" i="1"/>
  <c r="D77" i="1"/>
  <c r="D78" i="1"/>
  <c r="D79" i="1"/>
  <c r="D81" i="1"/>
  <c r="D84" i="1"/>
  <c r="D85" i="1"/>
  <c r="D82" i="1" l="1"/>
  <c r="D59" i="1"/>
  <c r="D47" i="1"/>
  <c r="D50" i="1" l="1"/>
  <c r="D86" i="1" l="1"/>
</calcChain>
</file>

<file path=xl/sharedStrings.xml><?xml version="1.0" encoding="utf-8"?>
<sst xmlns="http://schemas.openxmlformats.org/spreadsheetml/2006/main" count="158" uniqueCount="147">
  <si>
    <t>KM 10</t>
  </si>
  <si>
    <t>KM 8</t>
  </si>
  <si>
    <t>KM 7</t>
  </si>
  <si>
    <t>KM 6</t>
  </si>
  <si>
    <t>KM 5</t>
  </si>
  <si>
    <t>KM 4</t>
  </si>
  <si>
    <t>KM 3</t>
  </si>
  <si>
    <t>KM 2</t>
  </si>
  <si>
    <t>KM 1</t>
  </si>
  <si>
    <t>Total</t>
  </si>
  <si>
    <t>Land</t>
  </si>
  <si>
    <t>Kontinent</t>
  </si>
  <si>
    <t>Afrika</t>
  </si>
  <si>
    <t>Asien</t>
  </si>
  <si>
    <t>Europe</t>
  </si>
  <si>
    <t>Continent</t>
  </si>
  <si>
    <t>Pays</t>
  </si>
  <si>
    <t>KM 16</t>
  </si>
  <si>
    <t>KM 17 - 22</t>
  </si>
  <si>
    <t xml:space="preserve">Australien </t>
  </si>
  <si>
    <t>Belgien</t>
  </si>
  <si>
    <t>Bulgarien</t>
  </si>
  <si>
    <t>Dänemark</t>
  </si>
  <si>
    <t>Deutschland</t>
  </si>
  <si>
    <t>Estland</t>
  </si>
  <si>
    <t>Finnland</t>
  </si>
  <si>
    <t>Frankreich</t>
  </si>
  <si>
    <t>Griechenland</t>
  </si>
  <si>
    <t>Grossbritannien</t>
  </si>
  <si>
    <t>Irland</t>
  </si>
  <si>
    <t>Italien</t>
  </si>
  <si>
    <t>Litauen</t>
  </si>
  <si>
    <t>Luxemburg</t>
  </si>
  <si>
    <t>Malta</t>
  </si>
  <si>
    <t>Niederlande</t>
  </si>
  <si>
    <t>Norwegen</t>
  </si>
  <si>
    <t>Österreich</t>
  </si>
  <si>
    <t>Polen</t>
  </si>
  <si>
    <t>Portugal</t>
  </si>
  <si>
    <t>Rumänien</t>
  </si>
  <si>
    <t>Schweden</t>
  </si>
  <si>
    <t>Slowenien</t>
  </si>
  <si>
    <t>Spanien</t>
  </si>
  <si>
    <t>Türkei</t>
  </si>
  <si>
    <t>Südafrika</t>
  </si>
  <si>
    <t>Brasilien</t>
  </si>
  <si>
    <t>Chile</t>
  </si>
  <si>
    <t>Kanada</t>
  </si>
  <si>
    <t>Arabische Emirate</t>
  </si>
  <si>
    <t>Bahrain</t>
  </si>
  <si>
    <t>Indien</t>
  </si>
  <si>
    <t>Japan</t>
  </si>
  <si>
    <t>Katar</t>
  </si>
  <si>
    <t>Korea (Süd)</t>
  </si>
  <si>
    <t>Kuwait</t>
  </si>
  <si>
    <t>Malaysia</t>
  </si>
  <si>
    <t>Oman</t>
  </si>
  <si>
    <t>Pakistan</t>
  </si>
  <si>
    <t>Saudi-Arabien</t>
  </si>
  <si>
    <t>Singapur</t>
  </si>
  <si>
    <t>Belgique</t>
  </si>
  <si>
    <t>Bulgarie</t>
  </si>
  <si>
    <t>Danemark</t>
  </si>
  <si>
    <t>Allemagne</t>
  </si>
  <si>
    <t>Estonie</t>
  </si>
  <si>
    <t>Finlande</t>
  </si>
  <si>
    <t>France</t>
  </si>
  <si>
    <t>Grande-Bretagne</t>
  </si>
  <si>
    <t>Irlande</t>
  </si>
  <si>
    <t>Italie</t>
  </si>
  <si>
    <t>Lituanie</t>
  </si>
  <si>
    <t>Luxembourg</t>
  </si>
  <si>
    <t>Malte</t>
  </si>
  <si>
    <t>Pays-Bas</t>
  </si>
  <si>
    <t>Autriche</t>
  </si>
  <si>
    <t>Pologne</t>
  </si>
  <si>
    <t>Roumanie</t>
  </si>
  <si>
    <t>Slovénie</t>
  </si>
  <si>
    <t>Espagne</t>
  </si>
  <si>
    <t>Turquie</t>
  </si>
  <si>
    <t>Afrique du Sud</t>
  </si>
  <si>
    <t>Brésil</t>
  </si>
  <si>
    <t>Chili</t>
  </si>
  <si>
    <t>Canada</t>
  </si>
  <si>
    <t>Inde</t>
  </si>
  <si>
    <t>Japon</t>
  </si>
  <si>
    <t>Qatar</t>
  </si>
  <si>
    <t>Corée (Sud)</t>
  </si>
  <si>
    <t>Malaisie</t>
  </si>
  <si>
    <t>Arabie Saoudite</t>
  </si>
  <si>
    <t>Singapour</t>
  </si>
  <si>
    <t>Australien</t>
  </si>
  <si>
    <t>Australie</t>
  </si>
  <si>
    <t>Neuseeland</t>
  </si>
  <si>
    <t>Nouvelle-Zélande</t>
  </si>
  <si>
    <t>Asie</t>
  </si>
  <si>
    <t>KM 9  / KM 11-15 /</t>
  </si>
  <si>
    <t>Emirats arabes unis</t>
  </si>
  <si>
    <t>Bosnien und Herzeg.</t>
  </si>
  <si>
    <t>Bosnie et Herzég.</t>
  </si>
  <si>
    <t>Tschechische Rep.</t>
  </si>
  <si>
    <t>U.S.A</t>
  </si>
  <si>
    <t>Grèce</t>
  </si>
  <si>
    <t>Norvège</t>
  </si>
  <si>
    <t>Suède</t>
  </si>
  <si>
    <t>Bahreïn</t>
  </si>
  <si>
    <t>Koweït</t>
  </si>
  <si>
    <t>Tchèque, Rép.</t>
  </si>
  <si>
    <t>Indonesien</t>
  </si>
  <si>
    <t>Indonésie</t>
  </si>
  <si>
    <t>Ungarn</t>
  </si>
  <si>
    <t>Hongrie</t>
  </si>
  <si>
    <t>Europa</t>
  </si>
  <si>
    <t>Amerika</t>
  </si>
  <si>
    <t>Jordanien</t>
  </si>
  <si>
    <t>Jordanie</t>
  </si>
  <si>
    <t>Hongkong</t>
  </si>
  <si>
    <t>Lettland</t>
  </si>
  <si>
    <t>Lettonie</t>
  </si>
  <si>
    <t>Slowakei</t>
  </si>
  <si>
    <t>Slovaquie</t>
  </si>
  <si>
    <t>Macao</t>
  </si>
  <si>
    <t>Macau</t>
  </si>
  <si>
    <t>Israel</t>
  </si>
  <si>
    <t>Kroatien</t>
  </si>
  <si>
    <t>Croatie</t>
  </si>
  <si>
    <t>Afrique</t>
  </si>
  <si>
    <t>Amerique</t>
  </si>
  <si>
    <t>Island</t>
  </si>
  <si>
    <t>Islande</t>
  </si>
  <si>
    <t>Paraguay</t>
  </si>
  <si>
    <t>Zypern</t>
  </si>
  <si>
    <t>Chypre</t>
  </si>
  <si>
    <t>China</t>
  </si>
  <si>
    <t>Chine</t>
  </si>
  <si>
    <t>Georgien</t>
  </si>
  <si>
    <t>Georgie</t>
  </si>
  <si>
    <t>Ausfuhren von Kriegsmaterial nach Kategorie pro Endempfängerstaat (01.01. - 31.12.2017)</t>
  </si>
  <si>
    <t>Exportations de matériel de guerre par catégorie et pays de destination (01.01. - 31.12.2017)</t>
  </si>
  <si>
    <t>Albanien</t>
  </si>
  <si>
    <t>Albanie</t>
  </si>
  <si>
    <t>Aruba</t>
  </si>
  <si>
    <t>Kosovo</t>
  </si>
  <si>
    <t>Libanon</t>
  </si>
  <si>
    <t>Liban</t>
  </si>
  <si>
    <t>Thailand</t>
  </si>
  <si>
    <t>Thaïlande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</si>
</sst>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9"/>
      <name val="Arial"/>
      <family val="2"/>
    </font>
    <font>
      <sz val="7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b/>
      <sz val="16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9DBEE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558ED5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3" fontId="1" fillId="0" borderId="0" xfId="0" applyNumberFormat="1" applyFont="1" applyBorder="1"/>
    <xf numFmtId="3" fontId="0" fillId="0" borderId="0" xfId="0" applyNumberFormat="1" applyBorder="1"/>
    <xf numFmtId="0" fontId="4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8" fillId="0" borderId="0" xfId="0" applyFont="1"/>
    <xf numFmtId="0" fontId="0" fillId="0" borderId="0" xfId="0" applyFill="1"/>
    <xf numFmtId="0" fontId="8" fillId="0" borderId="0" xfId="0" applyFont="1" applyFill="1"/>
    <xf numFmtId="0" fontId="7" fillId="0" borderId="0" xfId="0" applyFont="1" applyFill="1"/>
    <xf numFmtId="0" fontId="6" fillId="0" borderId="1" xfId="0" applyFont="1" applyFill="1" applyBorder="1"/>
    <xf numFmtId="0" fontId="0" fillId="0" borderId="1" xfId="0" applyFill="1" applyBorder="1"/>
    <xf numFmtId="0" fontId="1" fillId="0" borderId="1" xfId="0" applyFont="1" applyFill="1" applyBorder="1"/>
    <xf numFmtId="0" fontId="1" fillId="0" borderId="2" xfId="0" applyFont="1" applyFill="1" applyBorder="1"/>
    <xf numFmtId="0" fontId="3" fillId="0" borderId="1" xfId="0" applyFont="1" applyFill="1" applyBorder="1"/>
    <xf numFmtId="0" fontId="6" fillId="0" borderId="3" xfId="0" applyFont="1" applyFill="1" applyBorder="1"/>
    <xf numFmtId="0" fontId="9" fillId="0" borderId="0" xfId="0" applyFont="1" applyFill="1"/>
    <xf numFmtId="0" fontId="3" fillId="0" borderId="0" xfId="0" applyFont="1"/>
    <xf numFmtId="0" fontId="6" fillId="0" borderId="0" xfId="0" applyFont="1" applyAlignment="1">
      <alignment horizontal="center"/>
    </xf>
    <xf numFmtId="0" fontId="6" fillId="0" borderId="2" xfId="0" applyFont="1" applyFill="1" applyBorder="1"/>
    <xf numFmtId="0" fontId="3" fillId="0" borderId="0" xfId="0" applyFont="1" applyFill="1"/>
    <xf numFmtId="0" fontId="9" fillId="0" borderId="0" xfId="0" applyFont="1" applyAlignment="1">
      <alignment horizontal="center"/>
    </xf>
    <xf numFmtId="0" fontId="6" fillId="2" borderId="9" xfId="0" applyFont="1" applyFill="1" applyBorder="1"/>
    <xf numFmtId="3" fontId="3" fillId="2" borderId="10" xfId="0" applyNumberFormat="1" applyFont="1" applyFill="1" applyBorder="1"/>
    <xf numFmtId="3" fontId="3" fillId="0" borderId="0" xfId="0" applyNumberFormat="1" applyFont="1" applyBorder="1"/>
    <xf numFmtId="3" fontId="6" fillId="2" borderId="11" xfId="0" applyNumberFormat="1" applyFont="1" applyFill="1" applyBorder="1" applyAlignment="1">
      <alignment horizontal="right"/>
    </xf>
    <xf numFmtId="3" fontId="6" fillId="2" borderId="12" xfId="0" applyNumberFormat="1" applyFont="1" applyFill="1" applyBorder="1" applyAlignment="1">
      <alignment horizontal="right"/>
    </xf>
    <xf numFmtId="0" fontId="3" fillId="0" borderId="13" xfId="0" applyFont="1" applyBorder="1"/>
    <xf numFmtId="0" fontId="3" fillId="0" borderId="14" xfId="0" applyFont="1" applyBorder="1"/>
    <xf numFmtId="0" fontId="3" fillId="0" borderId="15" xfId="0" applyFont="1" applyBorder="1"/>
    <xf numFmtId="0" fontId="3" fillId="0" borderId="7" xfId="0" applyFont="1" applyBorder="1"/>
    <xf numFmtId="0" fontId="3" fillId="0" borderId="16" xfId="0" applyFont="1" applyBorder="1"/>
    <xf numFmtId="0" fontId="3" fillId="0" borderId="17" xfId="0" applyFont="1" applyBorder="1"/>
    <xf numFmtId="0" fontId="3" fillId="0" borderId="21" xfId="0" applyFont="1" applyBorder="1"/>
    <xf numFmtId="0" fontId="3" fillId="0" borderId="5" xfId="0" applyFont="1" applyBorder="1"/>
    <xf numFmtId="0" fontId="3" fillId="0" borderId="28" xfId="0" applyFont="1" applyBorder="1"/>
    <xf numFmtId="0" fontId="3" fillId="0" borderId="29" xfId="0" applyFont="1" applyBorder="1"/>
    <xf numFmtId="0" fontId="6" fillId="0" borderId="3" xfId="0" applyFont="1" applyBorder="1"/>
    <xf numFmtId="0" fontId="6" fillId="0" borderId="1" xfId="0" applyFont="1" applyBorder="1"/>
    <xf numFmtId="0" fontId="0" fillId="0" borderId="1" xfId="0" applyBorder="1"/>
    <xf numFmtId="0" fontId="1" fillId="0" borderId="1" xfId="0" applyFont="1" applyBorder="1"/>
    <xf numFmtId="0" fontId="0" fillId="0" borderId="2" xfId="0" applyBorder="1"/>
    <xf numFmtId="3" fontId="11" fillId="0" borderId="0" xfId="0" applyNumberFormat="1" applyFont="1"/>
    <xf numFmtId="0" fontId="11" fillId="0" borderId="0" xfId="0" applyFont="1" applyBorder="1" applyAlignment="1">
      <alignment horizontal="right"/>
    </xf>
    <xf numFmtId="0" fontId="3" fillId="0" borderId="21" xfId="0" applyFont="1" applyFill="1" applyBorder="1"/>
    <xf numFmtId="0" fontId="3" fillId="0" borderId="5" xfId="0" applyFont="1" applyFill="1" applyBorder="1"/>
    <xf numFmtId="0" fontId="10" fillId="0" borderId="21" xfId="0" applyFont="1" applyBorder="1"/>
    <xf numFmtId="0" fontId="1" fillId="0" borderId="0" xfId="0" applyFont="1" applyFill="1" applyBorder="1"/>
    <xf numFmtId="0" fontId="0" fillId="0" borderId="2" xfId="0" applyFill="1" applyBorder="1"/>
    <xf numFmtId="3" fontId="12" fillId="2" borderId="11" xfId="0" applyNumberFormat="1" applyFont="1" applyFill="1" applyBorder="1" applyAlignment="1">
      <alignment horizontal="right"/>
    </xf>
    <xf numFmtId="3" fontId="12" fillId="3" borderId="19" xfId="0" applyNumberFormat="1" applyFont="1" applyFill="1" applyBorder="1" applyAlignment="1"/>
    <xf numFmtId="3" fontId="12" fillId="3" borderId="6" xfId="0" applyNumberFormat="1" applyFont="1" applyFill="1" applyBorder="1" applyAlignment="1"/>
    <xf numFmtId="3" fontId="12" fillId="3" borderId="33" xfId="0" applyNumberFormat="1" applyFont="1" applyFill="1" applyBorder="1" applyAlignment="1"/>
    <xf numFmtId="0" fontId="13" fillId="4" borderId="36" xfId="0" applyFont="1" applyFill="1" applyBorder="1" applyAlignment="1">
      <alignment vertical="center"/>
    </xf>
    <xf numFmtId="0" fontId="13" fillId="4" borderId="37" xfId="0" applyFont="1" applyFill="1" applyBorder="1" applyAlignment="1">
      <alignment vertical="center"/>
    </xf>
    <xf numFmtId="0" fontId="14" fillId="4" borderId="38" xfId="0" applyFont="1" applyFill="1" applyBorder="1" applyAlignment="1">
      <alignment vertical="center"/>
    </xf>
    <xf numFmtId="0" fontId="13" fillId="4" borderId="36" xfId="0" applyFont="1" applyFill="1" applyBorder="1" applyAlignment="1">
      <alignment horizontal="center" vertical="center"/>
    </xf>
    <xf numFmtId="0" fontId="13" fillId="4" borderId="18" xfId="0" applyFont="1" applyFill="1" applyBorder="1" applyAlignment="1">
      <alignment vertical="center"/>
    </xf>
    <xf numFmtId="0" fontId="13" fillId="4" borderId="39" xfId="0" applyFont="1" applyFill="1" applyBorder="1" applyAlignment="1">
      <alignment vertical="center"/>
    </xf>
    <xf numFmtId="0" fontId="14" fillId="4" borderId="40" xfId="0" applyFont="1" applyFill="1" applyBorder="1" applyAlignment="1">
      <alignment vertical="center"/>
    </xf>
    <xf numFmtId="0" fontId="14" fillId="4" borderId="18" xfId="0" applyFont="1" applyFill="1" applyBorder="1" applyAlignment="1">
      <alignment horizontal="center" vertical="center"/>
    </xf>
    <xf numFmtId="0" fontId="13" fillId="4" borderId="18" xfId="0" applyFont="1" applyFill="1" applyBorder="1" applyAlignment="1">
      <alignment horizontal="center" vertical="center"/>
    </xf>
    <xf numFmtId="3" fontId="12" fillId="3" borderId="4" xfId="0" applyNumberFormat="1" applyFont="1" applyFill="1" applyBorder="1" applyAlignment="1"/>
    <xf numFmtId="3" fontId="12" fillId="3" borderId="30" xfId="0" applyNumberFormat="1" applyFont="1" applyFill="1" applyBorder="1" applyAlignment="1"/>
    <xf numFmtId="3" fontId="12" fillId="3" borderId="8" xfId="0" applyNumberFormat="1" applyFont="1" applyFill="1" applyBorder="1" applyAlignment="1"/>
    <xf numFmtId="3" fontId="6" fillId="2" borderId="42" xfId="0" applyNumberFormat="1" applyFont="1" applyFill="1" applyBorder="1"/>
    <xf numFmtId="3" fontId="0" fillId="0" borderId="0" xfId="0" applyNumberFormat="1" applyFill="1" applyBorder="1"/>
    <xf numFmtId="3" fontId="11" fillId="0" borderId="0" xfId="0" applyNumberFormat="1" applyFont="1" applyBorder="1"/>
    <xf numFmtId="3" fontId="0" fillId="0" borderId="0" xfId="0" applyNumberFormat="1" applyFill="1"/>
    <xf numFmtId="3" fontId="10" fillId="0" borderId="19" xfId="0" applyNumberFormat="1" applyFont="1" applyFill="1" applyBorder="1" applyAlignment="1"/>
    <xf numFmtId="3" fontId="10" fillId="0" borderId="14" xfId="0" applyNumberFormat="1" applyFont="1" applyFill="1" applyBorder="1" applyAlignment="1"/>
    <xf numFmtId="3" fontId="10" fillId="0" borderId="13" xfId="0" applyNumberFormat="1" applyFont="1" applyFill="1" applyBorder="1" applyAlignment="1"/>
    <xf numFmtId="3" fontId="12" fillId="0" borderId="20" xfId="0" applyNumberFormat="1" applyFont="1" applyFill="1" applyBorder="1" applyAlignment="1">
      <alignment horizontal="center"/>
    </xf>
    <xf numFmtId="3" fontId="10" fillId="0" borderId="4" xfId="0" applyNumberFormat="1" applyFont="1" applyFill="1" applyBorder="1" applyAlignment="1"/>
    <xf numFmtId="3" fontId="10" fillId="0" borderId="33" xfId="0" applyNumberFormat="1" applyFont="1" applyFill="1" applyBorder="1" applyAlignment="1"/>
    <xf numFmtId="3" fontId="10" fillId="0" borderId="5" xfId="0" applyNumberFormat="1" applyFont="1" applyFill="1" applyBorder="1" applyAlignment="1"/>
    <xf numFmtId="3" fontId="10" fillId="0" borderId="21" xfId="0" applyNumberFormat="1" applyFont="1" applyFill="1" applyBorder="1" applyAlignment="1"/>
    <xf numFmtId="3" fontId="12" fillId="0" borderId="22" xfId="0" applyNumberFormat="1" applyFont="1" applyFill="1" applyBorder="1" applyAlignment="1">
      <alignment horizontal="center"/>
    </xf>
    <xf numFmtId="3" fontId="10" fillId="0" borderId="6" xfId="0" applyNumberFormat="1" applyFont="1" applyFill="1" applyBorder="1" applyAlignment="1"/>
    <xf numFmtId="3" fontId="10" fillId="0" borderId="15" xfId="0" applyNumberFormat="1" applyFont="1" applyFill="1" applyBorder="1" applyAlignment="1"/>
    <xf numFmtId="3" fontId="12" fillId="0" borderId="23" xfId="0" applyNumberFormat="1" applyFont="1" applyFill="1" applyBorder="1" applyAlignment="1">
      <alignment horizontal="center"/>
    </xf>
    <xf numFmtId="3" fontId="10" fillId="0" borderId="7" xfId="0" applyNumberFormat="1" applyFont="1" applyFill="1" applyBorder="1" applyAlignment="1"/>
    <xf numFmtId="3" fontId="10" fillId="0" borderId="6" xfId="0" applyNumberFormat="1" applyFont="1" applyFill="1" applyBorder="1" applyAlignment="1">
      <alignment horizontal="right"/>
    </xf>
    <xf numFmtId="3" fontId="10" fillId="0" borderId="8" xfId="0" applyNumberFormat="1" applyFont="1" applyFill="1" applyBorder="1" applyAlignment="1"/>
    <xf numFmtId="3" fontId="10" fillId="0" borderId="34" xfId="0" applyNumberFormat="1" applyFont="1" applyFill="1" applyBorder="1" applyAlignment="1"/>
    <xf numFmtId="3" fontId="10" fillId="0" borderId="24" xfId="0" applyNumberFormat="1" applyFont="1" applyFill="1" applyBorder="1" applyAlignment="1"/>
    <xf numFmtId="3" fontId="12" fillId="0" borderId="25" xfId="0" applyNumberFormat="1" applyFont="1" applyFill="1" applyBorder="1" applyAlignment="1">
      <alignment horizontal="center"/>
    </xf>
    <xf numFmtId="3" fontId="10" fillId="0" borderId="35" xfId="0" applyNumberFormat="1" applyFont="1" applyFill="1" applyBorder="1" applyAlignment="1"/>
    <xf numFmtId="3" fontId="10" fillId="0" borderId="28" xfId="0" applyNumberFormat="1" applyFont="1" applyFill="1" applyBorder="1" applyAlignment="1"/>
    <xf numFmtId="3" fontId="12" fillId="0" borderId="41" xfId="0" applyNumberFormat="1" applyFont="1" applyFill="1" applyBorder="1" applyAlignment="1">
      <alignment horizontal="center"/>
    </xf>
    <xf numFmtId="3" fontId="12" fillId="2" borderId="18" xfId="0" applyNumberFormat="1" applyFont="1" applyFill="1" applyBorder="1" applyAlignment="1"/>
    <xf numFmtId="3" fontId="10" fillId="0" borderId="0" xfId="0" applyNumberFormat="1" applyFont="1" applyFill="1" applyAlignment="1"/>
    <xf numFmtId="3" fontId="12" fillId="0" borderId="0" xfId="0" applyNumberFormat="1" applyFont="1" applyFill="1" applyAlignment="1">
      <alignment horizontal="right"/>
    </xf>
    <xf numFmtId="3" fontId="12" fillId="0" borderId="0" xfId="0" applyNumberFormat="1" applyFont="1" applyFill="1" applyBorder="1" applyAlignment="1"/>
    <xf numFmtId="3" fontId="10" fillId="0" borderId="19" xfId="0" applyNumberFormat="1" applyFont="1" applyFill="1" applyBorder="1" applyAlignment="1">
      <alignment horizontal="right"/>
    </xf>
    <xf numFmtId="3" fontId="10" fillId="0" borderId="26" xfId="0" applyNumberFormat="1" applyFont="1" applyFill="1" applyBorder="1" applyAlignment="1">
      <alignment horizontal="right"/>
    </xf>
    <xf numFmtId="3" fontId="10" fillId="0" borderId="16" xfId="0" applyNumberFormat="1" applyFont="1" applyFill="1" applyBorder="1" applyAlignment="1"/>
    <xf numFmtId="3" fontId="12" fillId="0" borderId="27" xfId="0" applyNumberFormat="1" applyFont="1" applyFill="1" applyBorder="1" applyAlignment="1">
      <alignment horizontal="center"/>
    </xf>
    <xf numFmtId="3" fontId="12" fillId="2" borderId="42" xfId="0" applyNumberFormat="1" applyFont="1" applyFill="1" applyBorder="1" applyAlignment="1">
      <alignment horizontal="right"/>
    </xf>
    <xf numFmtId="3" fontId="10" fillId="0" borderId="0" xfId="0" applyNumberFormat="1" applyFont="1" applyFill="1" applyAlignment="1">
      <alignment horizontal="right"/>
    </xf>
    <xf numFmtId="3" fontId="12" fillId="0" borderId="0" xfId="0" applyNumberFormat="1" applyFont="1" applyFill="1"/>
    <xf numFmtId="3" fontId="10" fillId="0" borderId="0" xfId="0" applyNumberFormat="1" applyFont="1" applyFill="1"/>
    <xf numFmtId="3" fontId="10" fillId="0" borderId="6" xfId="0" applyNumberFormat="1" applyFont="1" applyFill="1" applyBorder="1"/>
    <xf numFmtId="3" fontId="12" fillId="2" borderId="18" xfId="0" applyNumberFormat="1" applyFont="1" applyFill="1" applyBorder="1" applyAlignment="1">
      <alignment horizontal="right"/>
    </xf>
    <xf numFmtId="3" fontId="10" fillId="0" borderId="0" xfId="0" applyNumberFormat="1" applyFont="1" applyFill="1" applyBorder="1" applyAlignment="1">
      <alignment horizontal="right"/>
    </xf>
    <xf numFmtId="3" fontId="10" fillId="0" borderId="30" xfId="0" applyNumberFormat="1" applyFont="1" applyFill="1" applyBorder="1" applyAlignment="1">
      <alignment horizontal="right"/>
    </xf>
    <xf numFmtId="3" fontId="10" fillId="0" borderId="31" xfId="0" applyNumberFormat="1" applyFont="1" applyFill="1" applyBorder="1" applyAlignment="1">
      <alignment horizontal="center"/>
    </xf>
    <xf numFmtId="3" fontId="12" fillId="0" borderId="32" xfId="0" applyNumberFormat="1" applyFont="1" applyFill="1" applyBorder="1" applyAlignment="1">
      <alignment horizontal="center"/>
    </xf>
    <xf numFmtId="3" fontId="10" fillId="0" borderId="16" xfId="0" applyNumberFormat="1" applyFont="1" applyFill="1" applyBorder="1" applyAlignment="1">
      <alignment horizontal="center"/>
    </xf>
    <xf numFmtId="3" fontId="10" fillId="0" borderId="4" xfId="0" applyNumberFormat="1" applyFont="1" applyFill="1" applyBorder="1" applyAlignment="1">
      <alignment horizontal="right"/>
    </xf>
    <xf numFmtId="3" fontId="11" fillId="0" borderId="0" xfId="0" applyNumberFormat="1" applyFont="1" applyFill="1" applyAlignment="1"/>
    <xf numFmtId="3" fontId="10" fillId="0" borderId="26" xfId="0" applyNumberFormat="1" applyFont="1" applyFill="1" applyBorder="1" applyAlignment="1"/>
    <xf numFmtId="0" fontId="3" fillId="0" borderId="31" xfId="0" applyFont="1" applyBorder="1"/>
    <xf numFmtId="0" fontId="3" fillId="0" borderId="43" xfId="0" applyFont="1" applyBorder="1"/>
    <xf numFmtId="0" fontId="3" fillId="0" borderId="37" xfId="0" applyFont="1" applyFill="1" applyBorder="1"/>
    <xf numFmtId="0" fontId="3" fillId="0" borderId="38" xfId="0" applyFont="1" applyFill="1" applyBorder="1"/>
    <xf numFmtId="3" fontId="10" fillId="0" borderId="45" xfId="0" applyNumberFormat="1" applyFont="1" applyFill="1" applyBorder="1" applyAlignment="1">
      <alignment horizontal="right"/>
    </xf>
    <xf numFmtId="3" fontId="10" fillId="0" borderId="45" xfId="0" applyNumberFormat="1" applyFont="1" applyFill="1" applyBorder="1" applyAlignment="1" applyProtection="1">
      <alignment horizontal="right"/>
      <protection locked="0"/>
    </xf>
    <xf numFmtId="3" fontId="10" fillId="0" borderId="46" xfId="0" applyNumberFormat="1" applyFont="1" applyFill="1" applyBorder="1" applyAlignment="1"/>
    <xf numFmtId="3" fontId="12" fillId="0" borderId="44" xfId="0" applyNumberFormat="1" applyFont="1" applyFill="1" applyBorder="1" applyAlignment="1">
      <alignment horizontal="center"/>
    </xf>
    <xf numFmtId="0" fontId="6" fillId="0" borderId="0" xfId="0" applyFont="1" applyFill="1" applyBorder="1"/>
    <xf numFmtId="0" fontId="3" fillId="0" borderId="0" xfId="0" applyFont="1" applyFill="1" applyBorder="1"/>
    <xf numFmtId="3" fontId="12" fillId="0" borderId="0" xfId="0" applyNumberFormat="1" applyFont="1" applyFill="1" applyBorder="1" applyAlignment="1">
      <alignment horizontal="right"/>
    </xf>
    <xf numFmtId="0" fontId="6" fillId="0" borderId="18" xfId="0" applyFont="1" applyFill="1" applyBorder="1"/>
  </cellXfs>
  <cellStyles count="1">
    <cellStyle name="Normal" xfId="0" builtinId="0"/>
  </cellStyles>
  <dxfs count="12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173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</xdr:col>
      <xdr:colOff>1314450</xdr:colOff>
      <xdr:row>2</xdr:row>
      <xdr:rowOff>180975</xdr:rowOff>
    </xdr:to>
    <xdr:pic>
      <xdr:nvPicPr>
        <xdr:cNvPr id="420227" name="Picture 9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28575"/>
          <a:ext cx="2009775" cy="5238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19050</xdr:colOff>
      <xdr:row>0</xdr:row>
      <xdr:rowOff>0</xdr:rowOff>
    </xdr:from>
    <xdr:to>
      <xdr:col>14</xdr:col>
      <xdr:colOff>706403</xdr:colOff>
      <xdr:row>3</xdr:row>
      <xdr:rowOff>28575</xdr:rowOff>
    </xdr:to>
    <xdr:sp macro="" textlink="">
      <xdr:nvSpPr>
        <xdr:cNvPr id="1936" name="Text Box 912"/>
        <xdr:cNvSpPr txBox="1">
          <a:spLocks noChangeArrowheads="1"/>
        </xdr:cNvSpPr>
      </xdr:nvSpPr>
      <xdr:spPr bwMode="auto">
        <a:xfrm>
          <a:off x="9639300" y="0"/>
          <a:ext cx="3333750" cy="6858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18000" tIns="10800" rIns="18000" bIns="10800" anchor="t" upright="1"/>
        <a:lstStyle/>
        <a:p>
          <a:pPr algn="l" rtl="0">
            <a:defRPr sz="1000"/>
          </a:pPr>
          <a:r>
            <a:rPr lang="de-CH" sz="800" b="1" i="0" strike="noStrike">
              <a:solidFill>
                <a:srgbClr val="000000"/>
              </a:solidFill>
              <a:latin typeface="Arial"/>
              <a:cs typeface="Arial"/>
            </a:rPr>
            <a:t>Département fédéral de l'économie,</a:t>
          </a:r>
          <a:br>
            <a:rPr lang="de-CH" sz="800" b="1" i="0" strike="noStrike">
              <a:solidFill>
                <a:srgbClr val="000000"/>
              </a:solidFill>
              <a:latin typeface="Arial"/>
              <a:cs typeface="Arial"/>
            </a:rPr>
          </a:br>
          <a:r>
            <a:rPr lang="de-CH" sz="800" b="1" i="0" strike="noStrike">
              <a:solidFill>
                <a:srgbClr val="000000"/>
              </a:solidFill>
              <a:latin typeface="Arial"/>
              <a:cs typeface="Arial"/>
            </a:rPr>
            <a:t>de la formation et de la recherche DEFR</a:t>
          </a:r>
        </a:p>
        <a:p>
          <a:pPr algn="l" rtl="0">
            <a:defRPr sz="1000"/>
          </a:pPr>
          <a:r>
            <a:rPr lang="de-CH" sz="800" b="1" i="0" strike="noStrike">
              <a:solidFill>
                <a:srgbClr val="000000"/>
              </a:solidFill>
              <a:latin typeface="Arial"/>
              <a:cs typeface="Arial"/>
            </a:rPr>
            <a:t>Secrétariat d'Etat à l'économie SECO</a:t>
          </a:r>
        </a:p>
        <a:p>
          <a:pPr algn="l" rtl="0">
            <a:defRPr sz="1000"/>
          </a:pPr>
          <a:r>
            <a:rPr lang="de-CH" sz="800" b="0" i="0" strike="noStrike">
              <a:solidFill>
                <a:srgbClr val="000000"/>
              </a:solidFill>
              <a:latin typeface="Arial"/>
              <a:cs typeface="Arial"/>
            </a:rPr>
            <a:t>Communication</a:t>
          </a:r>
          <a:endParaRPr lang="de-CH" sz="8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8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de-CH" sz="8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2:W161"/>
  <sheetViews>
    <sheetView tabSelected="1" zoomScale="70" zoomScaleNormal="70" zoomScaleSheetLayoutView="100" workbookViewId="0">
      <selection activeCell="P1" sqref="P1:T1048576"/>
    </sheetView>
  </sheetViews>
  <sheetFormatPr baseColWidth="10" defaultRowHeight="12.75" x14ac:dyDescent="0.2"/>
  <cols>
    <col min="1" max="1" width="12" customWidth="1"/>
    <col min="2" max="2" width="18.5703125" style="20" customWidth="1"/>
    <col min="3" max="3" width="18.42578125" style="20" customWidth="1"/>
    <col min="4" max="4" width="13.7109375" style="10" customWidth="1"/>
    <col min="5" max="9" width="13.28515625" style="10" customWidth="1"/>
    <col min="10" max="10" width="14" style="10" bestFit="1" customWidth="1"/>
    <col min="11" max="13" width="13.28515625" style="10" customWidth="1"/>
    <col min="14" max="14" width="13.28515625" customWidth="1"/>
    <col min="15" max="15" width="19.5703125" customWidth="1"/>
    <col min="16" max="16" width="12.85546875" style="21" customWidth="1"/>
    <col min="17" max="17" width="12.42578125" customWidth="1"/>
    <col min="18" max="18" width="11.5703125" style="1" customWidth="1"/>
    <col min="19" max="19" width="14.140625" style="1" customWidth="1"/>
    <col min="20" max="20" width="11.5703125" style="1" customWidth="1"/>
    <col min="21" max="21" width="12.42578125" style="1" customWidth="1"/>
  </cols>
  <sheetData>
    <row r="2" spans="1:23" ht="16.899999999999999" customHeight="1" x14ac:dyDescent="0.2"/>
    <row r="3" spans="1:23" ht="22.9" customHeight="1" x14ac:dyDescent="0.2"/>
    <row r="4" spans="1:23" ht="4.5" customHeight="1" x14ac:dyDescent="0.3">
      <c r="P4" s="24"/>
    </row>
    <row r="5" spans="1:23" ht="23.1" customHeight="1" x14ac:dyDescent="0.35">
      <c r="A5" s="19" t="s">
        <v>137</v>
      </c>
      <c r="E5" s="12"/>
      <c r="F5" s="12"/>
      <c r="G5" s="12"/>
      <c r="H5" s="11"/>
      <c r="I5" s="11"/>
      <c r="J5" s="11"/>
      <c r="K5" s="11"/>
      <c r="L5" s="11"/>
      <c r="M5" s="11"/>
      <c r="N5" s="9"/>
      <c r="R5" s="2"/>
    </row>
    <row r="6" spans="1:23" ht="23.1" customHeight="1" x14ac:dyDescent="0.35">
      <c r="A6" s="19" t="s">
        <v>138</v>
      </c>
      <c r="E6" s="12"/>
      <c r="F6" s="12"/>
      <c r="G6" s="12"/>
      <c r="H6" s="11"/>
      <c r="I6" s="11"/>
      <c r="J6" s="11"/>
      <c r="K6" s="11"/>
      <c r="L6" s="11"/>
      <c r="M6" s="11"/>
      <c r="N6" s="9"/>
      <c r="R6" s="2"/>
    </row>
    <row r="7" spans="1:23" ht="23.1" customHeight="1" thickBot="1" x14ac:dyDescent="0.4">
      <c r="A7" s="19"/>
      <c r="E7" s="12"/>
      <c r="F7" s="12"/>
      <c r="G7" s="12"/>
      <c r="H7" s="11"/>
      <c r="I7" s="11"/>
      <c r="J7" s="11"/>
      <c r="K7" s="11"/>
      <c r="L7" s="11"/>
      <c r="M7" s="11"/>
      <c r="N7" s="9"/>
      <c r="R7" s="2"/>
    </row>
    <row r="8" spans="1:23" ht="16.899999999999999" customHeight="1" x14ac:dyDescent="0.2">
      <c r="A8" s="56" t="s">
        <v>11</v>
      </c>
      <c r="B8" s="57" t="s">
        <v>10</v>
      </c>
      <c r="C8" s="58"/>
      <c r="D8" s="59" t="s">
        <v>9</v>
      </c>
      <c r="E8" s="59" t="s">
        <v>8</v>
      </c>
      <c r="F8" s="59" t="s">
        <v>7</v>
      </c>
      <c r="G8" s="59" t="s">
        <v>6</v>
      </c>
      <c r="H8" s="59" t="s">
        <v>5</v>
      </c>
      <c r="I8" s="59" t="s">
        <v>4</v>
      </c>
      <c r="J8" s="59" t="s">
        <v>3</v>
      </c>
      <c r="K8" s="59" t="s">
        <v>2</v>
      </c>
      <c r="L8" s="59" t="s">
        <v>1</v>
      </c>
      <c r="M8" s="59" t="s">
        <v>0</v>
      </c>
      <c r="N8" s="59" t="s">
        <v>17</v>
      </c>
      <c r="O8" s="59" t="s">
        <v>96</v>
      </c>
      <c r="R8" s="2"/>
      <c r="V8" s="1"/>
      <c r="W8" s="1"/>
    </row>
    <row r="9" spans="1:23" ht="15" customHeight="1" thickBot="1" x14ac:dyDescent="0.25">
      <c r="A9" s="60" t="s">
        <v>15</v>
      </c>
      <c r="B9" s="61" t="s">
        <v>16</v>
      </c>
      <c r="C9" s="62"/>
      <c r="D9" s="63"/>
      <c r="E9" s="63"/>
      <c r="F9" s="63"/>
      <c r="G9" s="63"/>
      <c r="H9" s="63"/>
      <c r="I9" s="63"/>
      <c r="J9" s="63"/>
      <c r="K9" s="63"/>
      <c r="L9" s="63"/>
      <c r="M9" s="63"/>
      <c r="N9" s="63"/>
      <c r="O9" s="64" t="s">
        <v>18</v>
      </c>
      <c r="R9" s="2"/>
      <c r="U9" s="2"/>
      <c r="V9" s="3"/>
      <c r="W9" s="1"/>
    </row>
    <row r="10" spans="1:23" ht="9.75" customHeight="1" thickBot="1" x14ac:dyDescent="0.25">
      <c r="U10" s="2"/>
      <c r="V10" s="3"/>
      <c r="W10" s="1"/>
    </row>
    <row r="11" spans="1:23" s="20" customFormat="1" ht="17.25" customHeight="1" thickBot="1" x14ac:dyDescent="0.25">
      <c r="A11" s="25" t="s">
        <v>9</v>
      </c>
      <c r="B11" s="26"/>
      <c r="C11" s="26"/>
      <c r="D11" s="28">
        <f>SUM(E11:N11)</f>
        <v>446813934</v>
      </c>
      <c r="E11" s="52">
        <v>23376935</v>
      </c>
      <c r="F11" s="52">
        <v>35556929</v>
      </c>
      <c r="G11" s="52">
        <v>136451752</v>
      </c>
      <c r="H11" s="52">
        <v>2551277</v>
      </c>
      <c r="I11" s="52">
        <v>176180981</v>
      </c>
      <c r="J11" s="52">
        <v>21881239</v>
      </c>
      <c r="K11" s="52">
        <v>3499</v>
      </c>
      <c r="L11" s="52">
        <v>23647953</v>
      </c>
      <c r="M11" s="52">
        <v>27147805</v>
      </c>
      <c r="N11" s="52">
        <v>15564</v>
      </c>
      <c r="O11" s="29"/>
      <c r="P11" s="21"/>
      <c r="R11" s="7"/>
      <c r="S11" s="7"/>
      <c r="T11" s="7"/>
      <c r="U11" s="7"/>
      <c r="V11" s="7"/>
      <c r="W11" s="7"/>
    </row>
    <row r="12" spans="1:23" ht="17.25" customHeight="1" thickBot="1" x14ac:dyDescent="0.25">
      <c r="Q12" s="45"/>
      <c r="S12" s="70"/>
      <c r="T12" s="46"/>
      <c r="U12" s="2"/>
      <c r="V12" s="3"/>
      <c r="W12" s="1"/>
    </row>
    <row r="13" spans="1:23" ht="17.25" customHeight="1" x14ac:dyDescent="0.2">
      <c r="A13" s="40" t="s">
        <v>112</v>
      </c>
      <c r="B13" s="30" t="s">
        <v>139</v>
      </c>
      <c r="C13" s="31" t="s">
        <v>140</v>
      </c>
      <c r="D13" s="66">
        <f>SUM(E13:O13)</f>
        <v>77609</v>
      </c>
      <c r="E13" s="72"/>
      <c r="F13" s="72"/>
      <c r="G13" s="72">
        <v>77609</v>
      </c>
      <c r="H13" s="72"/>
      <c r="I13" s="72"/>
      <c r="J13" s="72"/>
      <c r="K13" s="72"/>
      <c r="L13" s="73"/>
      <c r="M13" s="72"/>
      <c r="N13" s="74"/>
      <c r="O13" s="75"/>
      <c r="Q13" s="27"/>
      <c r="R13" s="2"/>
      <c r="S13" s="5"/>
      <c r="U13" s="2"/>
      <c r="V13" s="3"/>
      <c r="W13" s="1"/>
    </row>
    <row r="14" spans="1:23" ht="17.25" customHeight="1" x14ac:dyDescent="0.2">
      <c r="A14" s="41" t="s">
        <v>14</v>
      </c>
      <c r="B14" s="36" t="s">
        <v>20</v>
      </c>
      <c r="C14" s="37" t="s">
        <v>60</v>
      </c>
      <c r="D14" s="54">
        <f>SUM(E14:O14)</f>
        <v>2752432</v>
      </c>
      <c r="E14" s="76">
        <v>392066</v>
      </c>
      <c r="F14" s="76"/>
      <c r="G14" s="76">
        <v>1065999</v>
      </c>
      <c r="H14" s="76"/>
      <c r="I14" s="81"/>
      <c r="J14" s="76">
        <v>126288</v>
      </c>
      <c r="K14" s="76"/>
      <c r="L14" s="78">
        <v>85196</v>
      </c>
      <c r="M14" s="76">
        <v>1082883</v>
      </c>
      <c r="N14" s="79"/>
      <c r="O14" s="80"/>
      <c r="R14" s="2"/>
      <c r="U14" s="2"/>
      <c r="V14" s="1"/>
      <c r="W14" s="2"/>
    </row>
    <row r="15" spans="1:23" ht="17.25" customHeight="1" x14ac:dyDescent="0.2">
      <c r="A15" s="42"/>
      <c r="B15" s="32" t="s">
        <v>98</v>
      </c>
      <c r="C15" s="33" t="s">
        <v>99</v>
      </c>
      <c r="D15" s="67">
        <f t="shared" ref="D15:D46" si="0">SUM(E15:O15)</f>
        <v>28594</v>
      </c>
      <c r="E15" s="76">
        <v>23997</v>
      </c>
      <c r="F15" s="76">
        <v>1124</v>
      </c>
      <c r="G15" s="76">
        <v>3473</v>
      </c>
      <c r="H15" s="76"/>
      <c r="I15" s="77"/>
      <c r="J15" s="76"/>
      <c r="K15" s="76"/>
      <c r="L15" s="78"/>
      <c r="M15" s="76"/>
      <c r="N15" s="79"/>
      <c r="O15" s="80"/>
      <c r="R15" s="2"/>
      <c r="U15" s="2"/>
      <c r="V15" s="1"/>
      <c r="W15" s="2"/>
    </row>
    <row r="16" spans="1:23" ht="17.25" customHeight="1" x14ac:dyDescent="0.2">
      <c r="A16" s="42"/>
      <c r="B16" s="32" t="s">
        <v>21</v>
      </c>
      <c r="C16" s="33" t="s">
        <v>61</v>
      </c>
      <c r="D16" s="67">
        <f t="shared" si="0"/>
        <v>6063432</v>
      </c>
      <c r="E16" s="81"/>
      <c r="F16" s="81"/>
      <c r="G16" s="81">
        <v>95248</v>
      </c>
      <c r="H16" s="81"/>
      <c r="I16" s="81"/>
      <c r="J16" s="81"/>
      <c r="K16" s="81"/>
      <c r="L16" s="81">
        <v>5968184</v>
      </c>
      <c r="M16" s="81"/>
      <c r="N16" s="82"/>
      <c r="O16" s="83"/>
      <c r="R16" s="2"/>
      <c r="V16" s="1"/>
      <c r="W16" s="1"/>
    </row>
    <row r="17" spans="1:23" ht="17.25" customHeight="1" x14ac:dyDescent="0.2">
      <c r="A17" s="43"/>
      <c r="B17" s="32" t="s">
        <v>22</v>
      </c>
      <c r="C17" s="33" t="s">
        <v>62</v>
      </c>
      <c r="D17" s="54">
        <f t="shared" si="0"/>
        <v>5238292</v>
      </c>
      <c r="E17" s="81">
        <v>15189</v>
      </c>
      <c r="F17" s="81">
        <v>1468771</v>
      </c>
      <c r="G17" s="81">
        <v>766384</v>
      </c>
      <c r="H17" s="81"/>
      <c r="I17" s="81"/>
      <c r="J17" s="81">
        <v>2807838</v>
      </c>
      <c r="K17" s="81"/>
      <c r="L17" s="84">
        <v>180110</v>
      </c>
      <c r="M17" s="81"/>
      <c r="N17" s="82"/>
      <c r="O17" s="83"/>
      <c r="R17" s="2"/>
      <c r="S17" s="5"/>
      <c r="V17" s="1"/>
      <c r="W17" s="1"/>
    </row>
    <row r="18" spans="1:23" ht="17.25" customHeight="1" x14ac:dyDescent="0.2">
      <c r="A18" s="43"/>
      <c r="B18" s="32" t="s">
        <v>23</v>
      </c>
      <c r="C18" s="33" t="s">
        <v>63</v>
      </c>
      <c r="D18" s="54">
        <f t="shared" si="0"/>
        <v>117709071</v>
      </c>
      <c r="E18" s="81">
        <v>8203497</v>
      </c>
      <c r="F18" s="81">
        <v>16030288</v>
      </c>
      <c r="G18" s="81">
        <v>78299987</v>
      </c>
      <c r="H18" s="81">
        <v>99444</v>
      </c>
      <c r="I18" s="81">
        <v>1746433</v>
      </c>
      <c r="J18" s="81">
        <v>8925817</v>
      </c>
      <c r="K18" s="81">
        <v>1371</v>
      </c>
      <c r="L18" s="84">
        <v>3300492</v>
      </c>
      <c r="M18" s="81">
        <v>1098378</v>
      </c>
      <c r="N18" s="82">
        <v>3364</v>
      </c>
      <c r="O18" s="83"/>
      <c r="R18" s="2"/>
      <c r="S18" s="5"/>
      <c r="V18" s="1"/>
      <c r="W18" s="1"/>
    </row>
    <row r="19" spans="1:23" ht="17.25" customHeight="1" x14ac:dyDescent="0.2">
      <c r="A19" s="43"/>
      <c r="B19" s="32" t="s">
        <v>24</v>
      </c>
      <c r="C19" s="33" t="s">
        <v>64</v>
      </c>
      <c r="D19" s="54">
        <f t="shared" si="0"/>
        <v>4621772</v>
      </c>
      <c r="E19" s="81">
        <v>35430</v>
      </c>
      <c r="F19" s="81"/>
      <c r="G19" s="81">
        <v>363858</v>
      </c>
      <c r="H19" s="81"/>
      <c r="I19" s="81"/>
      <c r="J19" s="81"/>
      <c r="K19" s="81"/>
      <c r="L19" s="81">
        <v>4222484</v>
      </c>
      <c r="M19" s="81"/>
      <c r="N19" s="82"/>
      <c r="O19" s="83"/>
      <c r="R19" s="2"/>
      <c r="V19" s="1"/>
      <c r="W19" s="1"/>
    </row>
    <row r="20" spans="1:23" ht="17.25" customHeight="1" x14ac:dyDescent="0.2">
      <c r="A20" s="43"/>
      <c r="B20" s="32" t="s">
        <v>25</v>
      </c>
      <c r="C20" s="33" t="s">
        <v>65</v>
      </c>
      <c r="D20" s="54">
        <f t="shared" si="0"/>
        <v>461349</v>
      </c>
      <c r="E20" s="81">
        <v>94364</v>
      </c>
      <c r="F20" s="81">
        <v>119279</v>
      </c>
      <c r="G20" s="81">
        <v>14306</v>
      </c>
      <c r="H20" s="81"/>
      <c r="I20" s="81"/>
      <c r="J20" s="81"/>
      <c r="K20" s="81"/>
      <c r="L20" s="84"/>
      <c r="M20" s="81">
        <v>233400</v>
      </c>
      <c r="N20" s="82"/>
      <c r="O20" s="83"/>
      <c r="R20" s="2"/>
      <c r="S20" s="5"/>
      <c r="V20" s="1"/>
      <c r="W20" s="1"/>
    </row>
    <row r="21" spans="1:23" ht="17.25" customHeight="1" x14ac:dyDescent="0.25">
      <c r="A21" s="43"/>
      <c r="B21" s="32" t="s">
        <v>26</v>
      </c>
      <c r="C21" s="33" t="s">
        <v>66</v>
      </c>
      <c r="D21" s="54">
        <f t="shared" si="0"/>
        <v>11497453</v>
      </c>
      <c r="E21" s="81">
        <v>2099515</v>
      </c>
      <c r="F21" s="81">
        <v>1261295</v>
      </c>
      <c r="G21" s="81">
        <v>3898591</v>
      </c>
      <c r="H21" s="81">
        <v>134431</v>
      </c>
      <c r="I21" s="81"/>
      <c r="J21" s="81">
        <v>442000</v>
      </c>
      <c r="K21" s="81">
        <v>1678</v>
      </c>
      <c r="L21" s="84">
        <v>222937</v>
      </c>
      <c r="M21" s="81">
        <v>3437006</v>
      </c>
      <c r="N21" s="82"/>
      <c r="O21" s="83"/>
      <c r="R21" s="2"/>
      <c r="S21" s="69"/>
      <c r="V21" s="1"/>
      <c r="W21" s="6"/>
    </row>
    <row r="22" spans="1:23" ht="17.25" customHeight="1" x14ac:dyDescent="0.2">
      <c r="A22" s="43"/>
      <c r="B22" s="32" t="s">
        <v>27</v>
      </c>
      <c r="C22" s="33" t="s">
        <v>102</v>
      </c>
      <c r="D22" s="54">
        <f t="shared" si="0"/>
        <v>78547</v>
      </c>
      <c r="E22" s="81">
        <v>1985</v>
      </c>
      <c r="F22" s="81"/>
      <c r="G22" s="81"/>
      <c r="H22" s="81"/>
      <c r="I22" s="81"/>
      <c r="J22" s="81"/>
      <c r="K22" s="81"/>
      <c r="L22" s="81">
        <v>76562</v>
      </c>
      <c r="M22" s="81"/>
      <c r="N22" s="82"/>
      <c r="O22" s="83"/>
      <c r="R22" s="2"/>
      <c r="S22" s="69"/>
      <c r="U22"/>
      <c r="V22" s="1"/>
    </row>
    <row r="23" spans="1:23" ht="17.25" customHeight="1" x14ac:dyDescent="0.2">
      <c r="A23" s="43"/>
      <c r="B23" s="32" t="s">
        <v>28</v>
      </c>
      <c r="C23" s="33" t="s">
        <v>67</v>
      </c>
      <c r="D23" s="54">
        <f t="shared" si="0"/>
        <v>4284214</v>
      </c>
      <c r="E23" s="81">
        <v>108985</v>
      </c>
      <c r="F23" s="81"/>
      <c r="G23" s="81">
        <v>1705736</v>
      </c>
      <c r="H23" s="81">
        <v>16290</v>
      </c>
      <c r="I23" s="81">
        <v>214504</v>
      </c>
      <c r="J23" s="81">
        <v>385000</v>
      </c>
      <c r="K23" s="81"/>
      <c r="L23" s="81">
        <v>1696582</v>
      </c>
      <c r="M23" s="81">
        <v>157117</v>
      </c>
      <c r="N23" s="82"/>
      <c r="O23" s="83"/>
      <c r="R23" s="2"/>
      <c r="S23" s="69"/>
      <c r="U23"/>
      <c r="V23" s="1"/>
    </row>
    <row r="24" spans="1:23" ht="17.25" customHeight="1" x14ac:dyDescent="0.2">
      <c r="A24" s="43"/>
      <c r="B24" s="32" t="s">
        <v>29</v>
      </c>
      <c r="C24" s="33" t="s">
        <v>68</v>
      </c>
      <c r="D24" s="54">
        <f t="shared" si="0"/>
        <v>5630047</v>
      </c>
      <c r="E24" s="81">
        <v>56465</v>
      </c>
      <c r="F24" s="81">
        <v>33832</v>
      </c>
      <c r="G24" s="81"/>
      <c r="H24" s="81"/>
      <c r="I24" s="81"/>
      <c r="J24" s="81"/>
      <c r="K24" s="81"/>
      <c r="L24" s="84"/>
      <c r="M24" s="81">
        <v>5539750</v>
      </c>
      <c r="N24" s="82"/>
      <c r="O24" s="83"/>
      <c r="R24" s="2"/>
      <c r="S24" s="69"/>
      <c r="U24"/>
      <c r="V24" s="1"/>
    </row>
    <row r="25" spans="1:23" ht="17.25" customHeight="1" x14ac:dyDescent="0.2">
      <c r="A25" s="43"/>
      <c r="B25" s="32" t="s">
        <v>128</v>
      </c>
      <c r="C25" s="33" t="s">
        <v>129</v>
      </c>
      <c r="D25" s="54">
        <f t="shared" si="0"/>
        <v>8581</v>
      </c>
      <c r="E25" s="85">
        <v>7176</v>
      </c>
      <c r="F25" s="85"/>
      <c r="G25" s="85">
        <v>1405</v>
      </c>
      <c r="H25" s="85"/>
      <c r="I25" s="85"/>
      <c r="J25" s="85"/>
      <c r="K25" s="85"/>
      <c r="L25" s="85"/>
      <c r="M25" s="85"/>
      <c r="N25" s="82"/>
      <c r="O25" s="83"/>
      <c r="R25" s="2"/>
      <c r="S25" s="2"/>
      <c r="T25" s="3"/>
      <c r="V25" s="1"/>
    </row>
    <row r="26" spans="1:23" ht="17.25" customHeight="1" x14ac:dyDescent="0.2">
      <c r="A26" s="43"/>
      <c r="B26" s="32" t="s">
        <v>30</v>
      </c>
      <c r="C26" s="33" t="s">
        <v>69</v>
      </c>
      <c r="D26" s="54">
        <f t="shared" si="0"/>
        <v>8306050</v>
      </c>
      <c r="E26" s="85">
        <v>862085</v>
      </c>
      <c r="F26" s="85">
        <v>165712</v>
      </c>
      <c r="G26" s="85">
        <v>905943</v>
      </c>
      <c r="H26" s="85"/>
      <c r="I26" s="85">
        <v>5527497</v>
      </c>
      <c r="J26" s="85"/>
      <c r="K26" s="85"/>
      <c r="L26" s="85">
        <v>829973</v>
      </c>
      <c r="M26" s="85">
        <v>2640</v>
      </c>
      <c r="N26" s="82">
        <v>12200</v>
      </c>
      <c r="O26" s="83"/>
      <c r="R26" s="2"/>
      <c r="S26" s="4"/>
      <c r="T26" s="3"/>
      <c r="V26" s="1"/>
    </row>
    <row r="27" spans="1:23" ht="17.25" customHeight="1" x14ac:dyDescent="0.2">
      <c r="A27" s="43"/>
      <c r="B27" s="32" t="s">
        <v>142</v>
      </c>
      <c r="C27" s="33" t="s">
        <v>142</v>
      </c>
      <c r="D27" s="54">
        <f t="shared" ref="D27" si="1">SUM(E27:O27)</f>
        <v>17851</v>
      </c>
      <c r="E27" s="81"/>
      <c r="F27" s="81"/>
      <c r="G27" s="81">
        <v>17851</v>
      </c>
      <c r="H27" s="81"/>
      <c r="I27" s="81"/>
      <c r="J27" s="81"/>
      <c r="K27" s="81"/>
      <c r="L27" s="81"/>
      <c r="M27" s="81"/>
      <c r="N27" s="82"/>
      <c r="O27" s="83"/>
      <c r="R27" s="2"/>
      <c r="S27" s="2"/>
      <c r="T27" s="3"/>
      <c r="V27" s="1"/>
    </row>
    <row r="28" spans="1:23" ht="17.25" customHeight="1" x14ac:dyDescent="0.2">
      <c r="A28" s="43"/>
      <c r="B28" s="32" t="s">
        <v>124</v>
      </c>
      <c r="C28" s="33" t="s">
        <v>125</v>
      </c>
      <c r="D28" s="54">
        <f t="shared" si="0"/>
        <v>1205453</v>
      </c>
      <c r="E28" s="81">
        <v>6058</v>
      </c>
      <c r="F28" s="81"/>
      <c r="G28" s="81">
        <v>16195</v>
      </c>
      <c r="H28" s="81"/>
      <c r="I28" s="81"/>
      <c r="J28" s="81"/>
      <c r="K28" s="81"/>
      <c r="L28" s="81">
        <v>1183200</v>
      </c>
      <c r="M28" s="81"/>
      <c r="N28" s="82"/>
      <c r="O28" s="83"/>
      <c r="R28" s="2"/>
      <c r="S28" s="2"/>
      <c r="T28" s="3"/>
      <c r="V28" s="1"/>
    </row>
    <row r="29" spans="1:23" ht="17.25" customHeight="1" x14ac:dyDescent="0.2">
      <c r="A29" s="43"/>
      <c r="B29" s="32" t="s">
        <v>117</v>
      </c>
      <c r="C29" s="33" t="s">
        <v>118</v>
      </c>
      <c r="D29" s="54">
        <f t="shared" si="0"/>
        <v>48985</v>
      </c>
      <c r="E29" s="81">
        <v>11875</v>
      </c>
      <c r="F29" s="81"/>
      <c r="G29" s="81">
        <v>37110</v>
      </c>
      <c r="H29" s="81"/>
      <c r="I29" s="81"/>
      <c r="J29" s="81"/>
      <c r="K29" s="81"/>
      <c r="L29" s="81"/>
      <c r="M29" s="81"/>
      <c r="N29" s="82"/>
      <c r="O29" s="83"/>
      <c r="R29" s="2"/>
      <c r="S29" s="2"/>
      <c r="T29" s="3"/>
      <c r="V29" s="1"/>
    </row>
    <row r="30" spans="1:23" ht="17.25" customHeight="1" x14ac:dyDescent="0.2">
      <c r="A30" s="43"/>
      <c r="B30" s="32" t="s">
        <v>31</v>
      </c>
      <c r="C30" s="33" t="s">
        <v>70</v>
      </c>
      <c r="D30" s="54">
        <f t="shared" si="0"/>
        <v>1139440</v>
      </c>
      <c r="E30" s="81">
        <v>784178</v>
      </c>
      <c r="F30" s="81">
        <v>22000</v>
      </c>
      <c r="G30" s="81">
        <v>333262</v>
      </c>
      <c r="H30" s="81"/>
      <c r="I30" s="81"/>
      <c r="J30" s="81"/>
      <c r="K30" s="81"/>
      <c r="L30" s="81"/>
      <c r="M30" s="81"/>
      <c r="N30" s="82"/>
      <c r="O30" s="83"/>
      <c r="R30" s="2"/>
      <c r="S30" s="2"/>
      <c r="T30" s="3"/>
      <c r="V30" s="1"/>
    </row>
    <row r="31" spans="1:23" ht="17.25" customHeight="1" x14ac:dyDescent="0.2">
      <c r="A31" s="43"/>
      <c r="B31" s="32" t="s">
        <v>32</v>
      </c>
      <c r="C31" s="33" t="s">
        <v>71</v>
      </c>
      <c r="D31" s="54">
        <f t="shared" si="0"/>
        <v>249040</v>
      </c>
      <c r="E31" s="81">
        <v>27534</v>
      </c>
      <c r="F31" s="81"/>
      <c r="G31" s="81">
        <v>221506</v>
      </c>
      <c r="H31" s="81"/>
      <c r="I31" s="81"/>
      <c r="J31" s="81"/>
      <c r="K31" s="81"/>
      <c r="L31" s="84"/>
      <c r="M31" s="81"/>
      <c r="N31" s="82"/>
      <c r="O31" s="83"/>
      <c r="R31" s="2"/>
      <c r="S31" s="4"/>
      <c r="T31" s="3"/>
    </row>
    <row r="32" spans="1:23" ht="17.25" customHeight="1" x14ac:dyDescent="0.2">
      <c r="A32" s="43"/>
      <c r="B32" s="32" t="s">
        <v>33</v>
      </c>
      <c r="C32" s="33" t="s">
        <v>72</v>
      </c>
      <c r="D32" s="54">
        <f t="shared" si="0"/>
        <v>32480</v>
      </c>
      <c r="E32" s="81">
        <v>31480</v>
      </c>
      <c r="F32" s="81">
        <v>1000</v>
      </c>
      <c r="G32" s="81"/>
      <c r="H32" s="81"/>
      <c r="I32" s="81"/>
      <c r="J32" s="81"/>
      <c r="K32" s="81"/>
      <c r="L32" s="84"/>
      <c r="M32" s="81"/>
      <c r="N32" s="82"/>
      <c r="O32" s="83"/>
      <c r="R32" s="2"/>
      <c r="T32" s="3"/>
      <c r="U32" s="2"/>
    </row>
    <row r="33" spans="1:21" ht="17.25" customHeight="1" x14ac:dyDescent="0.2">
      <c r="A33" s="43"/>
      <c r="B33" s="32" t="s">
        <v>34</v>
      </c>
      <c r="C33" s="33" t="s">
        <v>73</v>
      </c>
      <c r="D33" s="54">
        <f t="shared" si="0"/>
        <v>1146806</v>
      </c>
      <c r="E33" s="81">
        <v>324024</v>
      </c>
      <c r="F33" s="81">
        <v>55650</v>
      </c>
      <c r="G33" s="81">
        <v>30500</v>
      </c>
      <c r="H33" s="81">
        <v>3606</v>
      </c>
      <c r="I33" s="81">
        <v>144072</v>
      </c>
      <c r="J33" s="81">
        <v>575510</v>
      </c>
      <c r="K33" s="81"/>
      <c r="L33" s="81">
        <v>13444</v>
      </c>
      <c r="M33" s="81"/>
      <c r="N33" s="82"/>
      <c r="O33" s="83"/>
      <c r="R33" s="2"/>
      <c r="S33" s="5"/>
      <c r="T33" s="3"/>
      <c r="U33" s="2"/>
    </row>
    <row r="34" spans="1:21" ht="17.25" customHeight="1" x14ac:dyDescent="0.2">
      <c r="A34" s="43"/>
      <c r="B34" s="32" t="s">
        <v>35</v>
      </c>
      <c r="C34" s="33" t="s">
        <v>103</v>
      </c>
      <c r="D34" s="54">
        <f t="shared" si="0"/>
        <v>11285048</v>
      </c>
      <c r="E34" s="81">
        <v>174851</v>
      </c>
      <c r="F34" s="81">
        <v>9996</v>
      </c>
      <c r="G34" s="81">
        <v>6352045</v>
      </c>
      <c r="H34" s="81"/>
      <c r="I34" s="81">
        <v>2808</v>
      </c>
      <c r="J34" s="81">
        <v>1413853</v>
      </c>
      <c r="K34" s="81"/>
      <c r="L34" s="81">
        <v>3331495</v>
      </c>
      <c r="M34" s="81"/>
      <c r="N34" s="82"/>
      <c r="O34" s="83"/>
      <c r="R34" s="2"/>
      <c r="S34" s="5"/>
      <c r="T34" s="3"/>
      <c r="U34" s="2"/>
    </row>
    <row r="35" spans="1:21" ht="17.25" customHeight="1" x14ac:dyDescent="0.2">
      <c r="A35" s="43"/>
      <c r="B35" s="32" t="s">
        <v>36</v>
      </c>
      <c r="C35" s="33" t="s">
        <v>74</v>
      </c>
      <c r="D35" s="54">
        <f t="shared" si="0"/>
        <v>7699313</v>
      </c>
      <c r="E35" s="81">
        <v>1026114</v>
      </c>
      <c r="F35" s="81">
        <v>10000</v>
      </c>
      <c r="G35" s="81">
        <v>6571595</v>
      </c>
      <c r="H35" s="81"/>
      <c r="I35" s="81"/>
      <c r="J35" s="81">
        <v>86672</v>
      </c>
      <c r="K35" s="81"/>
      <c r="L35" s="81">
        <v>4932</v>
      </c>
      <c r="M35" s="81"/>
      <c r="N35" s="82"/>
      <c r="O35" s="83"/>
      <c r="R35" s="2"/>
      <c r="S35" s="4"/>
      <c r="T35" s="3"/>
      <c r="U35" s="2"/>
    </row>
    <row r="36" spans="1:21" ht="17.25" customHeight="1" x14ac:dyDescent="0.2">
      <c r="A36" s="43"/>
      <c r="B36" s="32" t="s">
        <v>37</v>
      </c>
      <c r="C36" s="33" t="s">
        <v>75</v>
      </c>
      <c r="D36" s="54">
        <f t="shared" si="0"/>
        <v>883688</v>
      </c>
      <c r="E36" s="81">
        <v>391789</v>
      </c>
      <c r="F36" s="81">
        <v>180775</v>
      </c>
      <c r="G36" s="81">
        <v>235925</v>
      </c>
      <c r="H36" s="81"/>
      <c r="I36" s="81"/>
      <c r="J36" s="81"/>
      <c r="K36" s="81"/>
      <c r="L36" s="81">
        <v>75199</v>
      </c>
      <c r="M36" s="81"/>
      <c r="N36" s="82"/>
      <c r="O36" s="83"/>
      <c r="R36" s="2"/>
      <c r="S36" s="4"/>
      <c r="T36" s="3"/>
      <c r="U36" s="2"/>
    </row>
    <row r="37" spans="1:21" ht="17.25" customHeight="1" x14ac:dyDescent="0.2">
      <c r="A37" s="14"/>
      <c r="B37" s="32" t="s">
        <v>38</v>
      </c>
      <c r="C37" s="33" t="s">
        <v>38</v>
      </c>
      <c r="D37" s="54">
        <f>SUM(E37:O37)</f>
        <v>69165</v>
      </c>
      <c r="E37" s="85">
        <v>37845</v>
      </c>
      <c r="F37" s="81"/>
      <c r="G37" s="85">
        <v>31320</v>
      </c>
      <c r="H37" s="85"/>
      <c r="I37" s="85"/>
      <c r="J37" s="85"/>
      <c r="K37" s="85"/>
      <c r="L37" s="85"/>
      <c r="M37" s="85"/>
      <c r="N37" s="82"/>
      <c r="O37" s="83"/>
      <c r="S37" s="69"/>
      <c r="T37" s="3"/>
      <c r="U37" s="4"/>
    </row>
    <row r="38" spans="1:21" ht="17.25" customHeight="1" x14ac:dyDescent="0.2">
      <c r="A38" s="43"/>
      <c r="B38" s="32" t="s">
        <v>39</v>
      </c>
      <c r="C38" s="33" t="s">
        <v>76</v>
      </c>
      <c r="D38" s="54">
        <f t="shared" si="0"/>
        <v>817418</v>
      </c>
      <c r="E38" s="81"/>
      <c r="F38" s="81"/>
      <c r="G38" s="81">
        <v>27323</v>
      </c>
      <c r="H38" s="81"/>
      <c r="I38" s="81">
        <v>101541</v>
      </c>
      <c r="J38" s="81">
        <v>688554</v>
      </c>
      <c r="K38" s="81"/>
      <c r="L38" s="81"/>
      <c r="M38" s="81"/>
      <c r="N38" s="82"/>
      <c r="O38" s="83"/>
      <c r="R38" s="2"/>
      <c r="S38" s="2"/>
      <c r="T38" s="3"/>
      <c r="U38" s="2"/>
    </row>
    <row r="39" spans="1:21" ht="17.25" customHeight="1" x14ac:dyDescent="0.2">
      <c r="A39" s="43"/>
      <c r="B39" s="32" t="s">
        <v>40</v>
      </c>
      <c r="C39" s="33" t="s">
        <v>104</v>
      </c>
      <c r="D39" s="54">
        <f t="shared" si="0"/>
        <v>12671585</v>
      </c>
      <c r="E39" s="81">
        <v>427276</v>
      </c>
      <c r="F39" s="81">
        <v>86430</v>
      </c>
      <c r="G39" s="81">
        <v>8243346</v>
      </c>
      <c r="H39" s="81">
        <v>855160</v>
      </c>
      <c r="I39" s="81">
        <v>556904</v>
      </c>
      <c r="J39" s="81">
        <v>47518</v>
      </c>
      <c r="K39" s="81"/>
      <c r="L39" s="84">
        <v>561500</v>
      </c>
      <c r="M39" s="81">
        <v>1893451</v>
      </c>
      <c r="N39" s="82"/>
      <c r="O39" s="83"/>
      <c r="R39" s="2"/>
      <c r="S39" s="4"/>
      <c r="T39" s="3"/>
      <c r="U39" s="2"/>
    </row>
    <row r="40" spans="1:21" ht="17.25" customHeight="1" x14ac:dyDescent="0.2">
      <c r="A40" s="43"/>
      <c r="B40" s="32" t="s">
        <v>119</v>
      </c>
      <c r="C40" s="33" t="s">
        <v>120</v>
      </c>
      <c r="D40" s="54">
        <f t="shared" si="0"/>
        <v>183258</v>
      </c>
      <c r="E40" s="81">
        <v>127642</v>
      </c>
      <c r="F40" s="81">
        <v>19907</v>
      </c>
      <c r="G40" s="81">
        <v>12111</v>
      </c>
      <c r="H40" s="81"/>
      <c r="I40" s="81"/>
      <c r="J40" s="81"/>
      <c r="K40" s="81"/>
      <c r="L40" s="84">
        <v>23598</v>
      </c>
      <c r="M40" s="81"/>
      <c r="N40" s="82"/>
      <c r="O40" s="83"/>
      <c r="R40" s="2"/>
      <c r="S40" s="2"/>
      <c r="T40" s="3"/>
      <c r="U40" s="2"/>
    </row>
    <row r="41" spans="1:21" ht="17.25" customHeight="1" x14ac:dyDescent="0.2">
      <c r="A41" s="42"/>
      <c r="B41" s="32" t="s">
        <v>41</v>
      </c>
      <c r="C41" s="33" t="s">
        <v>77</v>
      </c>
      <c r="D41" s="54">
        <f t="shared" si="0"/>
        <v>13115</v>
      </c>
      <c r="E41" s="86">
        <v>13115</v>
      </c>
      <c r="F41" s="86"/>
      <c r="G41" s="86"/>
      <c r="H41" s="86"/>
      <c r="I41" s="86"/>
      <c r="J41" s="86"/>
      <c r="K41" s="86"/>
      <c r="L41" s="87"/>
      <c r="M41" s="86"/>
      <c r="N41" s="88"/>
      <c r="O41" s="89"/>
      <c r="R41" s="2"/>
      <c r="S41" s="2"/>
      <c r="T41" s="3"/>
    </row>
    <row r="42" spans="1:21" ht="17.25" customHeight="1" x14ac:dyDescent="0.2">
      <c r="A42" s="42"/>
      <c r="B42" s="32" t="s">
        <v>42</v>
      </c>
      <c r="C42" s="33" t="s">
        <v>78</v>
      </c>
      <c r="D42" s="54">
        <f t="shared" si="0"/>
        <v>9681752</v>
      </c>
      <c r="E42" s="86">
        <v>20076</v>
      </c>
      <c r="F42" s="86">
        <v>2821594</v>
      </c>
      <c r="G42" s="86">
        <v>778638</v>
      </c>
      <c r="H42" s="86"/>
      <c r="I42" s="86">
        <v>780042</v>
      </c>
      <c r="J42" s="86">
        <v>4905195</v>
      </c>
      <c r="K42" s="86"/>
      <c r="L42" s="86">
        <v>44428</v>
      </c>
      <c r="M42" s="86">
        <v>331779</v>
      </c>
      <c r="N42" s="88"/>
      <c r="O42" s="89"/>
      <c r="R42" s="2"/>
      <c r="S42" s="4"/>
      <c r="T42" s="3"/>
    </row>
    <row r="43" spans="1:21" ht="17.25" customHeight="1" x14ac:dyDescent="0.2">
      <c r="A43" s="42"/>
      <c r="B43" s="32" t="s">
        <v>100</v>
      </c>
      <c r="C43" s="33" t="s">
        <v>107</v>
      </c>
      <c r="D43" s="54">
        <f t="shared" si="0"/>
        <v>1713015</v>
      </c>
      <c r="E43" s="86">
        <v>1030533</v>
      </c>
      <c r="F43" s="86">
        <v>50419</v>
      </c>
      <c r="G43" s="86">
        <v>522215</v>
      </c>
      <c r="H43" s="86">
        <v>53856</v>
      </c>
      <c r="I43" s="86">
        <v>1620</v>
      </c>
      <c r="J43" s="86">
        <v>22081</v>
      </c>
      <c r="K43" s="86"/>
      <c r="L43" s="86">
        <v>32291</v>
      </c>
      <c r="M43" s="86"/>
      <c r="N43" s="88"/>
      <c r="O43" s="89"/>
      <c r="R43" s="2"/>
      <c r="S43" s="4"/>
      <c r="T43" s="3"/>
    </row>
    <row r="44" spans="1:21" ht="17.25" customHeight="1" x14ac:dyDescent="0.2">
      <c r="A44" s="42"/>
      <c r="B44" s="32" t="s">
        <v>43</v>
      </c>
      <c r="C44" s="33" t="s">
        <v>79</v>
      </c>
      <c r="D44" s="65">
        <f t="shared" si="0"/>
        <v>643901</v>
      </c>
      <c r="E44" s="86">
        <v>2786</v>
      </c>
      <c r="F44" s="86">
        <v>56247</v>
      </c>
      <c r="G44" s="86"/>
      <c r="H44" s="86"/>
      <c r="I44" s="86">
        <v>584868</v>
      </c>
      <c r="J44" s="86"/>
      <c r="K44" s="86"/>
      <c r="L44" s="86"/>
      <c r="M44" s="86"/>
      <c r="N44" s="88"/>
      <c r="O44" s="89"/>
      <c r="R44" s="2"/>
      <c r="S44" s="2"/>
      <c r="T44" s="3"/>
    </row>
    <row r="45" spans="1:21" ht="17.25" customHeight="1" x14ac:dyDescent="0.2">
      <c r="A45" s="42"/>
      <c r="B45" s="32" t="s">
        <v>110</v>
      </c>
      <c r="C45" s="33" t="s">
        <v>111</v>
      </c>
      <c r="D45" s="55">
        <f t="shared" ref="D45" si="2">SUM(E45:O45)</f>
        <v>6379617</v>
      </c>
      <c r="E45" s="81">
        <v>299129</v>
      </c>
      <c r="F45" s="81"/>
      <c r="G45" s="81">
        <v>5835662</v>
      </c>
      <c r="H45" s="81"/>
      <c r="I45" s="81"/>
      <c r="J45" s="81"/>
      <c r="K45" s="81"/>
      <c r="L45" s="81">
        <v>244826</v>
      </c>
      <c r="M45" s="81"/>
      <c r="N45" s="82"/>
      <c r="O45" s="83"/>
      <c r="R45" s="2"/>
      <c r="S45" s="4"/>
      <c r="T45" s="3"/>
    </row>
    <row r="46" spans="1:21" ht="17.25" customHeight="1" thickBot="1" x14ac:dyDescent="0.25">
      <c r="A46" s="44"/>
      <c r="B46" s="38" t="s">
        <v>131</v>
      </c>
      <c r="C46" s="39" t="s">
        <v>132</v>
      </c>
      <c r="D46" s="54">
        <f t="shared" si="0"/>
        <v>3966</v>
      </c>
      <c r="E46" s="90">
        <v>3966</v>
      </c>
      <c r="F46" s="90"/>
      <c r="G46" s="90"/>
      <c r="H46" s="90"/>
      <c r="I46" s="90"/>
      <c r="J46" s="90"/>
      <c r="K46" s="90"/>
      <c r="L46" s="90"/>
      <c r="M46" s="90"/>
      <c r="N46" s="91"/>
      <c r="O46" s="92"/>
      <c r="R46" s="2"/>
      <c r="S46" s="2"/>
      <c r="T46" s="3"/>
    </row>
    <row r="47" spans="1:21" ht="17.25" customHeight="1" thickBot="1" x14ac:dyDescent="0.25">
      <c r="D47" s="93">
        <f>SUM(D13:D46)</f>
        <v>222642339</v>
      </c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5"/>
      <c r="R47" s="2"/>
      <c r="S47" s="2"/>
      <c r="T47" s="3"/>
    </row>
    <row r="48" spans="1:21" ht="17.25" customHeight="1" thickBot="1" x14ac:dyDescent="0.25">
      <c r="C48" s="113"/>
      <c r="D48" s="96"/>
      <c r="F48" s="94"/>
      <c r="G48" s="94"/>
      <c r="H48" s="94"/>
      <c r="I48" s="94"/>
      <c r="J48" s="94"/>
      <c r="K48" s="94"/>
      <c r="L48" s="94"/>
      <c r="M48" s="94"/>
      <c r="N48" s="94"/>
      <c r="O48" s="95"/>
      <c r="R48" s="2"/>
      <c r="S48" s="2"/>
      <c r="T48" s="3"/>
    </row>
    <row r="49" spans="1:21" ht="17.25" customHeight="1" thickBot="1" x14ac:dyDescent="0.25">
      <c r="A49" s="18" t="s">
        <v>12</v>
      </c>
      <c r="B49" s="115" t="s">
        <v>44</v>
      </c>
      <c r="C49" s="116" t="s">
        <v>80</v>
      </c>
      <c r="D49" s="53">
        <f>SUM(E49:O49)</f>
        <v>32678084</v>
      </c>
      <c r="E49" s="119">
        <v>54765</v>
      </c>
      <c r="F49" s="119">
        <v>5710300</v>
      </c>
      <c r="G49" s="119">
        <v>297588</v>
      </c>
      <c r="H49" s="119"/>
      <c r="I49" s="119">
        <v>26184741</v>
      </c>
      <c r="J49" s="120"/>
      <c r="K49" s="119"/>
      <c r="L49" s="119">
        <v>430690</v>
      </c>
      <c r="M49" s="119"/>
      <c r="N49" s="121"/>
      <c r="O49" s="122"/>
      <c r="R49" s="2"/>
      <c r="S49" s="2"/>
      <c r="T49" s="3"/>
      <c r="U49" s="7"/>
    </row>
    <row r="50" spans="1:21" ht="17.25" customHeight="1" thickBot="1" x14ac:dyDescent="0.25">
      <c r="A50" s="126" t="s">
        <v>126</v>
      </c>
      <c r="B50" s="117"/>
      <c r="C50" s="118"/>
      <c r="D50" s="101">
        <f>SUM(D49:D49)</f>
        <v>32678084</v>
      </c>
      <c r="E50" s="102"/>
      <c r="F50" s="102"/>
      <c r="G50" s="102"/>
      <c r="H50" s="102"/>
      <c r="I50" s="102"/>
      <c r="J50" s="102"/>
      <c r="K50" s="102"/>
      <c r="L50" s="102"/>
      <c r="M50" s="102"/>
      <c r="N50" s="102"/>
      <c r="O50" s="103"/>
    </row>
    <row r="51" spans="1:21" ht="17.25" customHeight="1" x14ac:dyDescent="0.2">
      <c r="A51" s="123"/>
      <c r="B51" s="124"/>
      <c r="C51" s="124"/>
      <c r="D51" s="125"/>
      <c r="E51" s="102"/>
      <c r="F51" s="102"/>
      <c r="G51" s="102"/>
      <c r="H51" s="102"/>
      <c r="I51" s="102"/>
      <c r="J51" s="102"/>
      <c r="K51" s="102"/>
      <c r="L51" s="102"/>
      <c r="M51" s="102"/>
      <c r="N51" s="102"/>
      <c r="O51" s="103"/>
    </row>
    <row r="52" spans="1:21" ht="17.25" customHeight="1" thickBot="1" x14ac:dyDescent="0.25">
      <c r="D52" s="104"/>
      <c r="E52" s="102"/>
      <c r="F52" s="102"/>
      <c r="G52" s="102"/>
      <c r="H52" s="102"/>
      <c r="I52" s="102"/>
      <c r="J52" s="102"/>
      <c r="K52" s="102"/>
      <c r="L52" s="102"/>
      <c r="M52" s="102"/>
      <c r="N52" s="104"/>
      <c r="O52" s="104"/>
    </row>
    <row r="53" spans="1:21" ht="17.25" customHeight="1" x14ac:dyDescent="0.2">
      <c r="A53" s="18" t="s">
        <v>113</v>
      </c>
      <c r="B53" s="30" t="s">
        <v>141</v>
      </c>
      <c r="C53" s="31" t="s">
        <v>141</v>
      </c>
      <c r="D53" s="53">
        <f t="shared" ref="D53:D58" si="3">SUM(E53:O53)</f>
        <v>7720</v>
      </c>
      <c r="E53" s="97">
        <v>7720</v>
      </c>
      <c r="F53" s="97"/>
      <c r="G53" s="97"/>
      <c r="H53" s="97"/>
      <c r="I53" s="97"/>
      <c r="J53" s="97"/>
      <c r="K53" s="97"/>
      <c r="L53" s="97"/>
      <c r="M53" s="97"/>
      <c r="N53" s="74"/>
      <c r="O53" s="75"/>
      <c r="R53" s="2"/>
      <c r="T53" s="3"/>
      <c r="U53" s="4"/>
    </row>
    <row r="54" spans="1:21" ht="17.25" customHeight="1" x14ac:dyDescent="0.2">
      <c r="A54" s="13" t="s">
        <v>127</v>
      </c>
      <c r="B54" s="36" t="s">
        <v>45</v>
      </c>
      <c r="C54" s="37" t="s">
        <v>81</v>
      </c>
      <c r="D54" s="65">
        <f>SUM(E54:N54)</f>
        <v>32920903</v>
      </c>
      <c r="E54" s="112"/>
      <c r="F54" s="112">
        <v>13410</v>
      </c>
      <c r="G54" s="112"/>
      <c r="H54" s="112"/>
      <c r="I54" s="112">
        <v>32881593</v>
      </c>
      <c r="J54" s="112"/>
      <c r="K54" s="112"/>
      <c r="L54" s="112">
        <v>25900</v>
      </c>
      <c r="M54" s="112"/>
      <c r="N54" s="79"/>
      <c r="O54" s="80"/>
      <c r="R54" s="2"/>
      <c r="T54" s="3"/>
      <c r="U54" s="4"/>
    </row>
    <row r="55" spans="1:21" ht="17.25" customHeight="1" x14ac:dyDescent="0.2">
      <c r="A55" s="42"/>
      <c r="B55" s="36" t="s">
        <v>46</v>
      </c>
      <c r="C55" s="37" t="s">
        <v>82</v>
      </c>
      <c r="D55" s="54">
        <f t="shared" si="3"/>
        <v>267341</v>
      </c>
      <c r="E55" s="85">
        <v>9734</v>
      </c>
      <c r="F55" s="85">
        <v>200049</v>
      </c>
      <c r="G55" s="85"/>
      <c r="H55" s="85"/>
      <c r="I55" s="85">
        <v>39085</v>
      </c>
      <c r="J55" s="85">
        <v>18473</v>
      </c>
      <c r="K55" s="85"/>
      <c r="L55" s="85"/>
      <c r="M55" s="85"/>
      <c r="N55" s="82"/>
      <c r="O55" s="83"/>
      <c r="R55" s="2"/>
      <c r="T55" s="3"/>
      <c r="U55" s="4"/>
    </row>
    <row r="56" spans="1:21" ht="17.25" customHeight="1" x14ac:dyDescent="0.2">
      <c r="A56" s="13"/>
      <c r="B56" s="36" t="s">
        <v>47</v>
      </c>
      <c r="C56" s="37" t="s">
        <v>83</v>
      </c>
      <c r="D56" s="54">
        <f t="shared" si="3"/>
        <v>3265801</v>
      </c>
      <c r="E56" s="85">
        <v>1050492</v>
      </c>
      <c r="F56" s="85">
        <v>14961</v>
      </c>
      <c r="G56" s="85">
        <v>67760</v>
      </c>
      <c r="H56" s="85">
        <v>1388490</v>
      </c>
      <c r="I56" s="85"/>
      <c r="J56" s="85">
        <v>404604</v>
      </c>
      <c r="K56" s="85"/>
      <c r="L56" s="85"/>
      <c r="M56" s="85">
        <v>339494</v>
      </c>
      <c r="N56" s="82"/>
      <c r="O56" s="83"/>
      <c r="R56" s="2"/>
      <c r="S56" s="5"/>
      <c r="T56" s="3"/>
      <c r="U56" s="4"/>
    </row>
    <row r="57" spans="1:21" ht="17.25" customHeight="1" x14ac:dyDescent="0.2">
      <c r="A57" s="13"/>
      <c r="B57" s="36" t="s">
        <v>130</v>
      </c>
      <c r="C57" s="37" t="s">
        <v>130</v>
      </c>
      <c r="D57" s="54">
        <f>SUM(E57:O57)</f>
        <v>14256</v>
      </c>
      <c r="E57" s="85"/>
      <c r="F57" s="85"/>
      <c r="G57" s="85">
        <v>14256</v>
      </c>
      <c r="H57" s="85"/>
      <c r="I57" s="85"/>
      <c r="J57" s="85"/>
      <c r="K57" s="85"/>
      <c r="L57" s="85"/>
      <c r="M57" s="85"/>
      <c r="N57" s="82"/>
      <c r="O57" s="83"/>
      <c r="R57" s="2"/>
      <c r="T57" s="3"/>
      <c r="U57" s="4"/>
    </row>
    <row r="58" spans="1:21" ht="17.25" customHeight="1" thickBot="1" x14ac:dyDescent="0.25">
      <c r="A58" s="16"/>
      <c r="B58" s="34" t="s">
        <v>101</v>
      </c>
      <c r="C58" s="35" t="s">
        <v>101</v>
      </c>
      <c r="D58" s="55">
        <f t="shared" si="3"/>
        <v>27602840</v>
      </c>
      <c r="E58" s="98">
        <v>4284135</v>
      </c>
      <c r="F58" s="98">
        <v>97894</v>
      </c>
      <c r="G58" s="98">
        <v>8487160</v>
      </c>
      <c r="H58" s="98"/>
      <c r="I58" s="98">
        <v>831913</v>
      </c>
      <c r="J58" s="98"/>
      <c r="K58" s="98">
        <v>450</v>
      </c>
      <c r="L58" s="98">
        <v>931061</v>
      </c>
      <c r="M58" s="98">
        <v>12970227</v>
      </c>
      <c r="N58" s="99"/>
      <c r="O58" s="100"/>
      <c r="R58" s="2"/>
      <c r="S58" s="5"/>
      <c r="T58" s="3"/>
      <c r="U58" s="4"/>
    </row>
    <row r="59" spans="1:21" ht="17.25" customHeight="1" thickBot="1" x14ac:dyDescent="0.25">
      <c r="A59" s="10"/>
      <c r="B59" s="23"/>
      <c r="C59" s="23"/>
      <c r="D59" s="101">
        <f>SUM(D53:D58)</f>
        <v>64078861</v>
      </c>
      <c r="E59" s="102"/>
      <c r="F59" s="102"/>
      <c r="G59" s="102"/>
      <c r="H59" s="102"/>
      <c r="I59" s="102"/>
      <c r="J59" s="102"/>
      <c r="K59" s="102"/>
      <c r="L59" s="102"/>
      <c r="M59" s="102"/>
      <c r="N59" s="102"/>
      <c r="O59" s="103"/>
    </row>
    <row r="60" spans="1:21" ht="17.25" customHeight="1" thickBot="1" x14ac:dyDescent="0.25">
      <c r="D60" s="104"/>
      <c r="E60" s="102"/>
      <c r="F60" s="102"/>
      <c r="G60" s="102"/>
      <c r="H60" s="102"/>
      <c r="I60" s="102"/>
      <c r="J60" s="102"/>
      <c r="K60" s="102"/>
      <c r="L60" s="102"/>
      <c r="M60" s="102"/>
      <c r="N60" s="104"/>
      <c r="O60" s="104"/>
      <c r="T60" s="3"/>
      <c r="U60" s="4"/>
    </row>
    <row r="61" spans="1:21" ht="17.25" customHeight="1" x14ac:dyDescent="0.2">
      <c r="A61" s="18" t="s">
        <v>13</v>
      </c>
      <c r="B61" s="30" t="s">
        <v>48</v>
      </c>
      <c r="C61" s="31" t="s">
        <v>97</v>
      </c>
      <c r="D61" s="53">
        <f t="shared" ref="D61" si="4">SUM(E61:O61)</f>
        <v>3212742</v>
      </c>
      <c r="E61" s="97">
        <v>396201</v>
      </c>
      <c r="F61" s="97">
        <v>959764</v>
      </c>
      <c r="G61" s="97"/>
      <c r="H61" s="97"/>
      <c r="I61" s="97">
        <v>1281094</v>
      </c>
      <c r="J61" s="97">
        <v>575683</v>
      </c>
      <c r="K61" s="97"/>
      <c r="L61" s="97"/>
      <c r="M61" s="97"/>
      <c r="N61" s="74"/>
      <c r="O61" s="75"/>
      <c r="R61" s="7"/>
      <c r="T61" s="3"/>
      <c r="U61" s="4"/>
    </row>
    <row r="62" spans="1:21" ht="17.25" customHeight="1" x14ac:dyDescent="0.2">
      <c r="A62" s="13" t="s">
        <v>95</v>
      </c>
      <c r="B62" s="36" t="s">
        <v>49</v>
      </c>
      <c r="C62" s="37" t="s">
        <v>105</v>
      </c>
      <c r="D62" s="54">
        <f t="shared" ref="D62:D81" si="5">SUM(E62:O62)</f>
        <v>420782</v>
      </c>
      <c r="E62" s="85">
        <v>20436</v>
      </c>
      <c r="F62" s="85">
        <v>136388</v>
      </c>
      <c r="G62" s="85">
        <v>308</v>
      </c>
      <c r="H62" s="85"/>
      <c r="I62" s="85">
        <v>263650</v>
      </c>
      <c r="J62" s="85"/>
      <c r="K62" s="85"/>
      <c r="L62" s="85"/>
      <c r="M62" s="85"/>
      <c r="N62" s="82"/>
      <c r="O62" s="83"/>
      <c r="R62" s="7"/>
      <c r="T62" s="3"/>
      <c r="U62" s="4"/>
    </row>
    <row r="63" spans="1:21" ht="17.25" customHeight="1" x14ac:dyDescent="0.2">
      <c r="A63" s="13"/>
      <c r="B63" s="36" t="s">
        <v>133</v>
      </c>
      <c r="C63" s="37" t="s">
        <v>134</v>
      </c>
      <c r="D63" s="54">
        <f>SUM(E63:N63)</f>
        <v>344146</v>
      </c>
      <c r="E63" s="85">
        <v>344146</v>
      </c>
      <c r="F63" s="85"/>
      <c r="G63" s="85"/>
      <c r="H63" s="85"/>
      <c r="I63" s="85"/>
      <c r="J63" s="85"/>
      <c r="K63" s="85"/>
      <c r="L63" s="85"/>
      <c r="M63" s="85"/>
      <c r="N63" s="82"/>
      <c r="O63" s="83"/>
      <c r="R63" s="7"/>
      <c r="T63" s="3"/>
      <c r="U63" s="4"/>
    </row>
    <row r="64" spans="1:21" ht="17.25" customHeight="1" x14ac:dyDescent="0.2">
      <c r="A64" s="13"/>
      <c r="B64" s="36" t="s">
        <v>135</v>
      </c>
      <c r="C64" s="37" t="s">
        <v>136</v>
      </c>
      <c r="D64" s="54">
        <f>SUM(E64:N64)</f>
        <v>2424</v>
      </c>
      <c r="E64" s="85">
        <v>2424</v>
      </c>
      <c r="F64" s="85"/>
      <c r="G64" s="85"/>
      <c r="H64" s="85"/>
      <c r="I64" s="85"/>
      <c r="J64" s="85"/>
      <c r="K64" s="85"/>
      <c r="L64" s="85"/>
      <c r="M64" s="85"/>
      <c r="N64" s="82"/>
      <c r="O64" s="83"/>
      <c r="R64" s="7"/>
      <c r="T64" s="3"/>
      <c r="U64" s="4"/>
    </row>
    <row r="65" spans="1:21" ht="17.25" customHeight="1" x14ac:dyDescent="0.2">
      <c r="A65" s="13"/>
      <c r="B65" s="36" t="s">
        <v>116</v>
      </c>
      <c r="C65" s="37" t="s">
        <v>116</v>
      </c>
      <c r="D65" s="54">
        <f t="shared" si="5"/>
        <v>8923</v>
      </c>
      <c r="E65" s="85">
        <v>8423</v>
      </c>
      <c r="F65" s="85"/>
      <c r="G65" s="85">
        <v>500</v>
      </c>
      <c r="H65" s="85"/>
      <c r="I65" s="85"/>
      <c r="J65" s="85"/>
      <c r="K65" s="85"/>
      <c r="L65" s="85"/>
      <c r="M65" s="85"/>
      <c r="N65" s="82"/>
      <c r="O65" s="83"/>
      <c r="R65" s="7"/>
      <c r="T65" s="3"/>
      <c r="U65" s="4"/>
    </row>
    <row r="66" spans="1:21" ht="17.25" customHeight="1" x14ac:dyDescent="0.2">
      <c r="A66" s="13"/>
      <c r="B66" s="36" t="s">
        <v>50</v>
      </c>
      <c r="C66" s="37" t="s">
        <v>84</v>
      </c>
      <c r="D66" s="54">
        <f t="shared" si="5"/>
        <v>8943717</v>
      </c>
      <c r="E66" s="85">
        <v>55491</v>
      </c>
      <c r="F66" s="85"/>
      <c r="G66" s="85"/>
      <c r="H66" s="85"/>
      <c r="I66" s="85">
        <v>8888226</v>
      </c>
      <c r="J66" s="85"/>
      <c r="K66" s="85"/>
      <c r="L66" s="85"/>
      <c r="M66" s="85"/>
      <c r="N66" s="82"/>
      <c r="O66" s="83"/>
      <c r="R66" s="7"/>
      <c r="T66" s="3"/>
      <c r="U66" s="4"/>
    </row>
    <row r="67" spans="1:21" ht="17.25" customHeight="1" x14ac:dyDescent="0.2">
      <c r="A67" s="13"/>
      <c r="B67" s="36" t="s">
        <v>108</v>
      </c>
      <c r="C67" s="37" t="s">
        <v>109</v>
      </c>
      <c r="D67" s="54">
        <f t="shared" si="5"/>
        <v>335414</v>
      </c>
      <c r="E67" s="85"/>
      <c r="F67" s="85">
        <v>179045</v>
      </c>
      <c r="G67" s="85">
        <v>48</v>
      </c>
      <c r="H67" s="85"/>
      <c r="I67" s="85">
        <v>99080</v>
      </c>
      <c r="J67" s="85"/>
      <c r="K67" s="85"/>
      <c r="L67" s="85"/>
      <c r="M67" s="85">
        <v>57241</v>
      </c>
      <c r="N67" s="82"/>
      <c r="O67" s="83"/>
      <c r="R67" s="7"/>
      <c r="T67" s="3"/>
      <c r="U67" s="4"/>
    </row>
    <row r="68" spans="1:21" ht="17.25" customHeight="1" x14ac:dyDescent="0.2">
      <c r="A68" s="13"/>
      <c r="B68" s="36" t="s">
        <v>123</v>
      </c>
      <c r="C68" s="37" t="s">
        <v>123</v>
      </c>
      <c r="D68" s="54">
        <f t="shared" si="5"/>
        <v>6888</v>
      </c>
      <c r="E68" s="85"/>
      <c r="F68" s="85"/>
      <c r="G68" s="85"/>
      <c r="H68" s="85"/>
      <c r="I68" s="85"/>
      <c r="J68" s="85">
        <v>6888</v>
      </c>
      <c r="K68" s="85"/>
      <c r="L68" s="85"/>
      <c r="M68" s="85"/>
      <c r="N68" s="82"/>
      <c r="O68" s="83"/>
      <c r="R68" s="7"/>
      <c r="T68" s="3"/>
      <c r="U68" s="4"/>
    </row>
    <row r="69" spans="1:21" ht="17.25" customHeight="1" x14ac:dyDescent="0.2">
      <c r="A69" s="13"/>
      <c r="B69" s="36" t="s">
        <v>51</v>
      </c>
      <c r="C69" s="37" t="s">
        <v>85</v>
      </c>
      <c r="D69" s="54">
        <f t="shared" si="5"/>
        <v>136988</v>
      </c>
      <c r="E69" s="85">
        <v>25325</v>
      </c>
      <c r="F69" s="85"/>
      <c r="G69" s="85">
        <v>111663</v>
      </c>
      <c r="H69" s="85"/>
      <c r="I69" s="85"/>
      <c r="J69" s="85"/>
      <c r="K69" s="85"/>
      <c r="L69" s="85"/>
      <c r="M69" s="85"/>
      <c r="N69" s="82"/>
      <c r="O69" s="83"/>
      <c r="R69" s="7"/>
      <c r="S69" s="5"/>
      <c r="T69" s="3"/>
      <c r="U69" s="4"/>
    </row>
    <row r="70" spans="1:21" ht="17.25" customHeight="1" x14ac:dyDescent="0.2">
      <c r="A70" s="13"/>
      <c r="B70" s="47" t="s">
        <v>114</v>
      </c>
      <c r="C70" s="48" t="s">
        <v>115</v>
      </c>
      <c r="D70" s="54">
        <f t="shared" si="5"/>
        <v>4439</v>
      </c>
      <c r="E70" s="85"/>
      <c r="F70" s="85"/>
      <c r="G70" s="85"/>
      <c r="H70" s="85"/>
      <c r="I70" s="85"/>
      <c r="J70" s="85"/>
      <c r="K70" s="85"/>
      <c r="L70" s="85"/>
      <c r="M70" s="85">
        <v>4439</v>
      </c>
      <c r="N70" s="82"/>
      <c r="O70" s="83"/>
      <c r="R70" s="7"/>
      <c r="T70" s="3"/>
      <c r="U70" s="4"/>
    </row>
    <row r="71" spans="1:21" ht="17.25" customHeight="1" x14ac:dyDescent="0.2">
      <c r="A71" s="13"/>
      <c r="B71" s="36" t="s">
        <v>52</v>
      </c>
      <c r="C71" s="37" t="s">
        <v>86</v>
      </c>
      <c r="D71" s="54">
        <f t="shared" si="5"/>
        <v>228381</v>
      </c>
      <c r="E71" s="85">
        <v>88381</v>
      </c>
      <c r="F71" s="85"/>
      <c r="G71" s="85"/>
      <c r="H71" s="85"/>
      <c r="I71" s="85"/>
      <c r="J71" s="85">
        <v>140000</v>
      </c>
      <c r="K71" s="85"/>
      <c r="L71" s="85"/>
      <c r="M71" s="85"/>
      <c r="N71" s="82"/>
      <c r="O71" s="83"/>
      <c r="R71" s="7"/>
      <c r="T71" s="3"/>
      <c r="U71" s="4"/>
    </row>
    <row r="72" spans="1:21" ht="17.25" customHeight="1" x14ac:dyDescent="0.2">
      <c r="A72" s="17"/>
      <c r="B72" s="36" t="s">
        <v>53</v>
      </c>
      <c r="C72" s="37" t="s">
        <v>87</v>
      </c>
      <c r="D72" s="54">
        <f t="shared" si="5"/>
        <v>755618</v>
      </c>
      <c r="E72" s="85">
        <v>11608</v>
      </c>
      <c r="F72" s="85">
        <v>653997</v>
      </c>
      <c r="G72" s="85">
        <v>81805</v>
      </c>
      <c r="H72" s="85"/>
      <c r="I72" s="85"/>
      <c r="J72" s="85"/>
      <c r="K72" s="105"/>
      <c r="L72" s="85">
        <v>8208</v>
      </c>
      <c r="M72" s="85"/>
      <c r="N72" s="82"/>
      <c r="O72" s="83"/>
      <c r="T72" s="3"/>
      <c r="U72" s="4"/>
    </row>
    <row r="73" spans="1:21" ht="17.25" customHeight="1" x14ac:dyDescent="0.2">
      <c r="A73" s="15"/>
      <c r="B73" s="49" t="s">
        <v>54</v>
      </c>
      <c r="C73" s="37" t="s">
        <v>106</v>
      </c>
      <c r="D73" s="54">
        <f t="shared" si="5"/>
        <v>93864</v>
      </c>
      <c r="E73" s="85">
        <v>93864</v>
      </c>
      <c r="F73" s="85"/>
      <c r="G73" s="85"/>
      <c r="H73" s="85"/>
      <c r="I73" s="85"/>
      <c r="J73" s="85"/>
      <c r="K73" s="102"/>
      <c r="L73" s="85"/>
      <c r="M73" s="85"/>
      <c r="N73" s="82"/>
      <c r="O73" s="83"/>
      <c r="T73" s="3"/>
      <c r="U73" s="4"/>
    </row>
    <row r="74" spans="1:21" ht="17.25" customHeight="1" x14ac:dyDescent="0.2">
      <c r="A74" s="14"/>
      <c r="B74" s="36" t="s">
        <v>143</v>
      </c>
      <c r="C74" s="37" t="s">
        <v>144</v>
      </c>
      <c r="D74" s="54">
        <f t="shared" ref="D74" si="6">SUM(E74:O74)</f>
        <v>86416</v>
      </c>
      <c r="E74" s="85">
        <v>86416</v>
      </c>
      <c r="F74" s="85"/>
      <c r="G74" s="85"/>
      <c r="H74" s="85"/>
      <c r="I74" s="85"/>
      <c r="J74" s="85"/>
      <c r="K74" s="85"/>
      <c r="L74" s="85"/>
      <c r="M74" s="85"/>
      <c r="N74" s="82"/>
      <c r="O74" s="83"/>
      <c r="T74" s="3"/>
      <c r="U74" s="4"/>
    </row>
    <row r="75" spans="1:21" ht="17.25" customHeight="1" x14ac:dyDescent="0.2">
      <c r="A75" s="14"/>
      <c r="B75" s="36" t="s">
        <v>122</v>
      </c>
      <c r="C75" s="37" t="s">
        <v>121</v>
      </c>
      <c r="D75" s="54">
        <f t="shared" si="5"/>
        <v>3930</v>
      </c>
      <c r="E75" s="85">
        <v>3930</v>
      </c>
      <c r="F75" s="85"/>
      <c r="G75" s="85"/>
      <c r="H75" s="85"/>
      <c r="I75" s="85"/>
      <c r="J75" s="85"/>
      <c r="K75" s="85"/>
      <c r="L75" s="85"/>
      <c r="M75" s="85"/>
      <c r="N75" s="82"/>
      <c r="O75" s="83"/>
      <c r="T75" s="3"/>
      <c r="U75" s="4"/>
    </row>
    <row r="76" spans="1:21" ht="17.25" customHeight="1" x14ac:dyDescent="0.2">
      <c r="A76" s="14"/>
      <c r="B76" s="36" t="s">
        <v>55</v>
      </c>
      <c r="C76" s="37" t="s">
        <v>88</v>
      </c>
      <c r="D76" s="54">
        <f t="shared" si="5"/>
        <v>2744829</v>
      </c>
      <c r="E76" s="85"/>
      <c r="F76" s="85">
        <v>32025</v>
      </c>
      <c r="G76" s="85">
        <v>2192200</v>
      </c>
      <c r="H76" s="85"/>
      <c r="I76" s="85">
        <v>474104</v>
      </c>
      <c r="J76" s="85"/>
      <c r="K76" s="85"/>
      <c r="L76" s="85">
        <v>46500</v>
      </c>
      <c r="M76" s="85"/>
      <c r="N76" s="82"/>
      <c r="O76" s="83"/>
      <c r="T76" s="3"/>
      <c r="U76" s="4"/>
    </row>
    <row r="77" spans="1:21" ht="17.25" customHeight="1" x14ac:dyDescent="0.2">
      <c r="A77" s="14"/>
      <c r="B77" s="36" t="s">
        <v>56</v>
      </c>
      <c r="C77" s="37" t="s">
        <v>56</v>
      </c>
      <c r="D77" s="54">
        <f t="shared" si="5"/>
        <v>7634554</v>
      </c>
      <c r="E77" s="85">
        <v>8200</v>
      </c>
      <c r="F77" s="85">
        <v>38421</v>
      </c>
      <c r="G77" s="85">
        <v>4169135</v>
      </c>
      <c r="H77" s="85"/>
      <c r="I77" s="85">
        <v>3372555</v>
      </c>
      <c r="J77" s="85">
        <v>45055</v>
      </c>
      <c r="K77" s="85"/>
      <c r="L77" s="85">
        <v>1188</v>
      </c>
      <c r="M77" s="85"/>
      <c r="N77" s="82"/>
      <c r="O77" s="83"/>
      <c r="T77" s="3"/>
      <c r="U77" s="4"/>
    </row>
    <row r="78" spans="1:21" ht="17.25" customHeight="1" x14ac:dyDescent="0.2">
      <c r="A78" s="14"/>
      <c r="B78" s="36" t="s">
        <v>57</v>
      </c>
      <c r="C78" s="37" t="s">
        <v>57</v>
      </c>
      <c r="D78" s="54">
        <f t="shared" si="5"/>
        <v>6636504</v>
      </c>
      <c r="E78" s="85"/>
      <c r="F78" s="85">
        <v>4199742</v>
      </c>
      <c r="G78" s="85">
        <v>195000</v>
      </c>
      <c r="H78" s="85"/>
      <c r="I78" s="85">
        <v>2241762</v>
      </c>
      <c r="J78" s="85"/>
      <c r="K78" s="85"/>
      <c r="L78" s="85"/>
      <c r="M78" s="85"/>
      <c r="N78" s="82"/>
      <c r="O78" s="83"/>
      <c r="T78" s="3"/>
      <c r="U78" s="4"/>
    </row>
    <row r="79" spans="1:21" ht="17.25" customHeight="1" x14ac:dyDescent="0.2">
      <c r="A79" s="14"/>
      <c r="B79" s="36" t="s">
        <v>58</v>
      </c>
      <c r="C79" s="37" t="s">
        <v>89</v>
      </c>
      <c r="D79" s="54">
        <f t="shared" si="5"/>
        <v>4777364</v>
      </c>
      <c r="E79" s="85"/>
      <c r="F79" s="85">
        <v>903920</v>
      </c>
      <c r="G79" s="85">
        <v>75480</v>
      </c>
      <c r="H79" s="85"/>
      <c r="I79" s="85">
        <v>3797964</v>
      </c>
      <c r="J79" s="85"/>
      <c r="K79" s="85"/>
      <c r="L79" s="85"/>
      <c r="M79" s="85"/>
      <c r="N79" s="82"/>
      <c r="O79" s="83"/>
      <c r="T79" s="3"/>
      <c r="U79" s="4"/>
    </row>
    <row r="80" spans="1:21" ht="17.25" customHeight="1" x14ac:dyDescent="0.2">
      <c r="A80" s="14"/>
      <c r="B80" s="32" t="s">
        <v>59</v>
      </c>
      <c r="C80" s="33" t="s">
        <v>90</v>
      </c>
      <c r="D80" s="54">
        <f t="shared" si="5"/>
        <v>3146256</v>
      </c>
      <c r="E80" s="85">
        <v>10589</v>
      </c>
      <c r="F80" s="85">
        <v>22694</v>
      </c>
      <c r="G80" s="85">
        <v>2685922</v>
      </c>
      <c r="H80" s="85"/>
      <c r="I80" s="85">
        <v>109159</v>
      </c>
      <c r="J80" s="85">
        <v>214849</v>
      </c>
      <c r="K80" s="85"/>
      <c r="L80" s="85">
        <v>103043</v>
      </c>
      <c r="M80" s="85"/>
      <c r="N80" s="81"/>
      <c r="O80" s="89"/>
      <c r="T80" s="3"/>
      <c r="U80" s="4"/>
    </row>
    <row r="81" spans="1:21" ht="17.25" customHeight="1" thickBot="1" x14ac:dyDescent="0.25">
      <c r="A81" s="51"/>
      <c r="B81" s="38" t="s">
        <v>145</v>
      </c>
      <c r="C81" s="39" t="s">
        <v>146</v>
      </c>
      <c r="D81" s="54">
        <f t="shared" si="5"/>
        <v>87649880</v>
      </c>
      <c r="E81" s="98"/>
      <c r="F81" s="98"/>
      <c r="G81" s="98">
        <v>1594114</v>
      </c>
      <c r="H81" s="98"/>
      <c r="I81" s="98">
        <v>86055766</v>
      </c>
      <c r="J81" s="98"/>
      <c r="K81" s="98"/>
      <c r="L81" s="98"/>
      <c r="M81" s="98"/>
      <c r="N81" s="114"/>
      <c r="O81" s="100"/>
      <c r="T81" s="3"/>
      <c r="U81" s="4"/>
    </row>
    <row r="82" spans="1:21" ht="17.25" customHeight="1" thickBot="1" x14ac:dyDescent="0.25">
      <c r="A82" s="50"/>
      <c r="B82" s="23"/>
      <c r="C82" s="23"/>
      <c r="D82" s="106">
        <f>SUM(D61:D81)</f>
        <v>127174059</v>
      </c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3"/>
    </row>
    <row r="83" spans="1:21" ht="17.25" customHeight="1" thickBot="1" x14ac:dyDescent="0.3">
      <c r="A83" s="10"/>
      <c r="D83" s="104"/>
      <c r="E83" s="102"/>
      <c r="F83" s="107"/>
      <c r="G83" s="102"/>
      <c r="H83" s="102"/>
      <c r="I83" s="102"/>
      <c r="J83" s="102"/>
      <c r="K83" s="102"/>
      <c r="L83" s="102"/>
      <c r="M83" s="102"/>
      <c r="N83" s="104"/>
      <c r="O83" s="104"/>
      <c r="S83" s="8"/>
    </row>
    <row r="84" spans="1:21" ht="17.25" customHeight="1" x14ac:dyDescent="0.2">
      <c r="A84" s="18" t="s">
        <v>19</v>
      </c>
      <c r="B84" s="30" t="s">
        <v>91</v>
      </c>
      <c r="C84" s="31" t="s">
        <v>92</v>
      </c>
      <c r="D84" s="53">
        <f>SUM(E84:O84)</f>
        <v>105337</v>
      </c>
      <c r="E84" s="108">
        <v>38376</v>
      </c>
      <c r="F84" s="108"/>
      <c r="G84" s="108">
        <v>13670</v>
      </c>
      <c r="H84" s="108"/>
      <c r="I84" s="108"/>
      <c r="J84" s="108">
        <v>49361</v>
      </c>
      <c r="K84" s="108"/>
      <c r="L84" s="108">
        <v>3930</v>
      </c>
      <c r="M84" s="108"/>
      <c r="N84" s="109"/>
      <c r="O84" s="110"/>
      <c r="S84" s="27"/>
    </row>
    <row r="85" spans="1:21" ht="17.25" customHeight="1" thickBot="1" x14ac:dyDescent="0.25">
      <c r="A85" s="22" t="s">
        <v>92</v>
      </c>
      <c r="B85" s="38" t="s">
        <v>93</v>
      </c>
      <c r="C85" s="39" t="s">
        <v>94</v>
      </c>
      <c r="D85" s="67">
        <f>SUM(E85:O85)</f>
        <v>135254</v>
      </c>
      <c r="E85" s="98">
        <v>135254</v>
      </c>
      <c r="F85" s="98"/>
      <c r="G85" s="98"/>
      <c r="H85" s="98"/>
      <c r="I85" s="98"/>
      <c r="J85" s="98"/>
      <c r="K85" s="98"/>
      <c r="L85" s="98"/>
      <c r="M85" s="98"/>
      <c r="N85" s="111"/>
      <c r="O85" s="100"/>
      <c r="S85" s="5"/>
    </row>
    <row r="86" spans="1:21" ht="17.25" customHeight="1" thickBot="1" x14ac:dyDescent="0.25">
      <c r="D86" s="68">
        <f>SUM(D84:D85)</f>
        <v>240591</v>
      </c>
      <c r="E86" s="23"/>
      <c r="F86" s="23"/>
      <c r="G86" s="23"/>
      <c r="H86" s="23"/>
      <c r="I86" s="23"/>
      <c r="J86" s="23"/>
      <c r="K86" s="23"/>
      <c r="L86" s="23"/>
      <c r="M86" s="23"/>
      <c r="N86" s="20"/>
      <c r="O86" s="20"/>
    </row>
    <row r="93" spans="1:21" ht="17.25" customHeight="1" x14ac:dyDescent="0.2"/>
    <row r="94" spans="1:21" ht="17.25" customHeight="1" x14ac:dyDescent="0.2"/>
    <row r="95" spans="1:21" ht="16.899999999999999" customHeight="1" x14ac:dyDescent="0.2"/>
    <row r="96" spans="1:21" ht="16.899999999999999" customHeight="1" x14ac:dyDescent="0.2"/>
    <row r="98" spans="1:15" x14ac:dyDescent="0.2">
      <c r="B98" s="23"/>
      <c r="C98" s="23"/>
      <c r="N98" s="10"/>
      <c r="O98" s="10"/>
    </row>
    <row r="99" spans="1:15" x14ac:dyDescent="0.2">
      <c r="A99" s="10"/>
      <c r="B99" s="23"/>
      <c r="C99" s="23"/>
      <c r="F99" s="71"/>
      <c r="N99" s="10"/>
      <c r="O99" s="10"/>
    </row>
    <row r="100" spans="1:15" x14ac:dyDescent="0.2">
      <c r="A100" s="10"/>
      <c r="B100" s="23"/>
      <c r="C100" s="23"/>
      <c r="F100" s="71"/>
      <c r="N100" s="10"/>
      <c r="O100" s="10"/>
    </row>
    <row r="101" spans="1:15" x14ac:dyDescent="0.2">
      <c r="A101" s="10"/>
      <c r="B101" s="23"/>
      <c r="C101" s="23"/>
      <c r="F101" s="71"/>
      <c r="N101" s="10"/>
      <c r="O101" s="10"/>
    </row>
    <row r="102" spans="1:15" x14ac:dyDescent="0.2">
      <c r="A102" s="10"/>
      <c r="B102" s="23"/>
      <c r="C102" s="23"/>
      <c r="F102" s="71"/>
      <c r="N102" s="10"/>
      <c r="O102" s="10"/>
    </row>
    <row r="103" spans="1:15" x14ac:dyDescent="0.2">
      <c r="A103" s="10"/>
      <c r="B103" s="23"/>
      <c r="C103" s="23"/>
      <c r="F103" s="71"/>
      <c r="N103" s="10"/>
      <c r="O103" s="10"/>
    </row>
    <row r="104" spans="1:15" x14ac:dyDescent="0.2">
      <c r="A104" s="10"/>
      <c r="B104" s="23"/>
      <c r="C104" s="23"/>
      <c r="F104" s="71"/>
      <c r="N104" s="10"/>
      <c r="O104" s="10"/>
    </row>
    <row r="105" spans="1:15" x14ac:dyDescent="0.2">
      <c r="A105" s="10"/>
      <c r="B105" s="23"/>
      <c r="C105" s="23"/>
      <c r="N105" s="10"/>
      <c r="O105" s="10"/>
    </row>
    <row r="106" spans="1:15" x14ac:dyDescent="0.2">
      <c r="A106" s="10"/>
      <c r="B106" s="23"/>
      <c r="C106" s="23"/>
      <c r="N106" s="10"/>
      <c r="O106" s="10"/>
    </row>
    <row r="107" spans="1:15" x14ac:dyDescent="0.2">
      <c r="A107" s="10"/>
      <c r="B107" s="23"/>
      <c r="C107" s="23"/>
      <c r="N107" s="10"/>
      <c r="O107" s="10"/>
    </row>
    <row r="108" spans="1:15" x14ac:dyDescent="0.2">
      <c r="A108" s="10"/>
      <c r="B108" s="23"/>
      <c r="C108" s="23"/>
      <c r="N108" s="10"/>
      <c r="O108" s="10"/>
    </row>
    <row r="109" spans="1:15" x14ac:dyDescent="0.2">
      <c r="A109" s="10"/>
      <c r="B109" s="23"/>
      <c r="C109" s="23"/>
      <c r="N109" s="10"/>
      <c r="O109" s="10"/>
    </row>
    <row r="110" spans="1:15" x14ac:dyDescent="0.2">
      <c r="A110" s="10"/>
      <c r="B110" s="23"/>
      <c r="C110" s="23"/>
      <c r="N110" s="10"/>
      <c r="O110" s="10"/>
    </row>
    <row r="111" spans="1:15" x14ac:dyDescent="0.2">
      <c r="A111" s="10"/>
      <c r="B111" s="23"/>
      <c r="C111" s="23"/>
      <c r="N111" s="10"/>
      <c r="O111" s="10"/>
    </row>
    <row r="112" spans="1:15" x14ac:dyDescent="0.2">
      <c r="A112" s="10"/>
      <c r="B112" s="23"/>
      <c r="C112" s="23"/>
      <c r="N112" s="10"/>
      <c r="O112" s="10"/>
    </row>
    <row r="113" spans="1:15" x14ac:dyDescent="0.2">
      <c r="A113" s="10"/>
      <c r="B113" s="23"/>
      <c r="C113" s="23"/>
      <c r="N113" s="10"/>
      <c r="O113" s="10"/>
    </row>
    <row r="114" spans="1:15" x14ac:dyDescent="0.2">
      <c r="A114" s="10"/>
      <c r="B114" s="23"/>
      <c r="C114" s="23"/>
      <c r="N114" s="10"/>
      <c r="O114" s="10"/>
    </row>
    <row r="115" spans="1:15" x14ac:dyDescent="0.2">
      <c r="A115" s="10"/>
      <c r="B115" s="23"/>
      <c r="C115" s="23"/>
      <c r="N115" s="10"/>
      <c r="O115" s="10"/>
    </row>
    <row r="116" spans="1:15" x14ac:dyDescent="0.2">
      <c r="A116" s="10"/>
      <c r="B116" s="23"/>
      <c r="C116" s="23"/>
      <c r="N116" s="10"/>
      <c r="O116" s="10"/>
    </row>
    <row r="117" spans="1:15" x14ac:dyDescent="0.2">
      <c r="A117" s="10"/>
      <c r="B117" s="23"/>
      <c r="C117" s="23"/>
      <c r="N117" s="10"/>
      <c r="O117" s="10"/>
    </row>
    <row r="118" spans="1:15" x14ac:dyDescent="0.2">
      <c r="A118" s="10"/>
      <c r="B118" s="23"/>
      <c r="C118" s="23"/>
      <c r="N118" s="10"/>
      <c r="O118" s="10"/>
    </row>
    <row r="119" spans="1:15" x14ac:dyDescent="0.2">
      <c r="A119" s="10"/>
      <c r="B119" s="23"/>
      <c r="C119" s="23"/>
      <c r="N119" s="10"/>
      <c r="O119" s="10"/>
    </row>
    <row r="120" spans="1:15" x14ac:dyDescent="0.2">
      <c r="A120" s="10"/>
      <c r="B120" s="23"/>
      <c r="C120" s="23"/>
      <c r="N120" s="10"/>
      <c r="O120" s="10"/>
    </row>
    <row r="121" spans="1:15" x14ac:dyDescent="0.2">
      <c r="A121" s="10"/>
      <c r="B121" s="23"/>
      <c r="C121" s="23"/>
      <c r="N121" s="10"/>
      <c r="O121" s="10"/>
    </row>
    <row r="122" spans="1:15" x14ac:dyDescent="0.2">
      <c r="A122" s="10"/>
      <c r="B122" s="23"/>
      <c r="C122" s="23"/>
      <c r="N122" s="10"/>
      <c r="O122" s="10"/>
    </row>
    <row r="123" spans="1:15" x14ac:dyDescent="0.2">
      <c r="A123" s="10"/>
      <c r="B123" s="23"/>
      <c r="C123" s="23"/>
      <c r="N123" s="10"/>
      <c r="O123" s="10"/>
    </row>
    <row r="124" spans="1:15" x14ac:dyDescent="0.2">
      <c r="A124" s="10"/>
      <c r="B124" s="23"/>
      <c r="C124" s="23"/>
      <c r="N124" s="10"/>
      <c r="O124" s="10"/>
    </row>
    <row r="125" spans="1:15" x14ac:dyDescent="0.2">
      <c r="A125" s="10"/>
      <c r="B125" s="23"/>
      <c r="C125" s="23"/>
      <c r="N125" s="10"/>
      <c r="O125" s="10"/>
    </row>
    <row r="126" spans="1:15" x14ac:dyDescent="0.2">
      <c r="A126" s="10"/>
      <c r="B126" s="23"/>
      <c r="C126" s="23"/>
      <c r="N126" s="10"/>
      <c r="O126" s="10"/>
    </row>
    <row r="127" spans="1:15" x14ac:dyDescent="0.2">
      <c r="A127" s="10"/>
      <c r="B127" s="23"/>
      <c r="C127" s="23"/>
      <c r="N127" s="10"/>
      <c r="O127" s="10"/>
    </row>
    <row r="128" spans="1:15" x14ac:dyDescent="0.2">
      <c r="A128" s="10"/>
      <c r="B128" s="23"/>
      <c r="C128" s="23"/>
      <c r="N128" s="10"/>
      <c r="O128" s="10"/>
    </row>
    <row r="129" spans="1:15" x14ac:dyDescent="0.2">
      <c r="A129" s="10"/>
      <c r="B129" s="23"/>
      <c r="C129" s="23"/>
      <c r="N129" s="10"/>
      <c r="O129" s="10"/>
    </row>
    <row r="130" spans="1:15" x14ac:dyDescent="0.2">
      <c r="A130" s="10"/>
      <c r="B130" s="23"/>
      <c r="C130" s="23"/>
      <c r="N130" s="10"/>
      <c r="O130" s="10"/>
    </row>
    <row r="131" spans="1:15" x14ac:dyDescent="0.2">
      <c r="A131" s="10"/>
      <c r="B131" s="23"/>
      <c r="C131" s="23"/>
      <c r="N131" s="10"/>
      <c r="O131" s="10"/>
    </row>
    <row r="132" spans="1:15" x14ac:dyDescent="0.2">
      <c r="A132" s="10"/>
      <c r="B132" s="23"/>
      <c r="C132" s="23"/>
      <c r="N132" s="10"/>
      <c r="O132" s="10"/>
    </row>
    <row r="133" spans="1:15" x14ac:dyDescent="0.2">
      <c r="A133" s="10"/>
      <c r="B133" s="23"/>
      <c r="C133" s="23"/>
      <c r="N133" s="10"/>
      <c r="O133" s="10"/>
    </row>
    <row r="134" spans="1:15" x14ac:dyDescent="0.2">
      <c r="A134" s="10"/>
      <c r="B134" s="23"/>
      <c r="C134" s="23"/>
      <c r="N134" s="10"/>
      <c r="O134" s="10"/>
    </row>
    <row r="135" spans="1:15" x14ac:dyDescent="0.2">
      <c r="A135" s="10"/>
      <c r="B135" s="23"/>
      <c r="C135" s="23"/>
      <c r="N135" s="10"/>
      <c r="O135" s="10"/>
    </row>
    <row r="136" spans="1:15" x14ac:dyDescent="0.2">
      <c r="A136" s="10"/>
      <c r="B136" s="23"/>
      <c r="C136" s="23"/>
      <c r="N136" s="10"/>
      <c r="O136" s="10"/>
    </row>
    <row r="137" spans="1:15" x14ac:dyDescent="0.2">
      <c r="A137" s="10"/>
      <c r="B137" s="23"/>
      <c r="C137" s="23"/>
      <c r="N137" s="10"/>
      <c r="O137" s="10"/>
    </row>
    <row r="138" spans="1:15" x14ac:dyDescent="0.2">
      <c r="A138" s="10"/>
      <c r="B138" s="23"/>
      <c r="C138" s="23"/>
      <c r="N138" s="10"/>
      <c r="O138" s="10"/>
    </row>
    <row r="139" spans="1:15" x14ac:dyDescent="0.2">
      <c r="A139" s="10"/>
      <c r="B139" s="23"/>
      <c r="C139" s="23"/>
      <c r="N139" s="10"/>
      <c r="O139" s="10"/>
    </row>
    <row r="140" spans="1:15" x14ac:dyDescent="0.2">
      <c r="A140" s="10"/>
      <c r="B140" s="23"/>
      <c r="C140" s="23"/>
      <c r="N140" s="10"/>
      <c r="O140" s="10"/>
    </row>
    <row r="141" spans="1:15" x14ac:dyDescent="0.2">
      <c r="A141" s="10"/>
      <c r="B141" s="23"/>
      <c r="C141" s="23"/>
      <c r="N141" s="10"/>
      <c r="O141" s="10"/>
    </row>
    <row r="142" spans="1:15" x14ac:dyDescent="0.2">
      <c r="A142" s="10"/>
      <c r="B142" s="23"/>
      <c r="C142" s="23"/>
      <c r="N142" s="10"/>
      <c r="O142" s="10"/>
    </row>
    <row r="143" spans="1:15" x14ac:dyDescent="0.2">
      <c r="A143" s="10"/>
      <c r="B143" s="23"/>
      <c r="C143" s="23"/>
      <c r="N143" s="10"/>
      <c r="O143" s="10"/>
    </row>
    <row r="144" spans="1:15" x14ac:dyDescent="0.2">
      <c r="A144" s="10"/>
      <c r="B144" s="23"/>
      <c r="C144" s="23"/>
      <c r="N144" s="10"/>
      <c r="O144" s="10"/>
    </row>
    <row r="145" spans="1:15" x14ac:dyDescent="0.2">
      <c r="A145" s="10"/>
      <c r="B145" s="23"/>
      <c r="C145" s="23"/>
      <c r="N145" s="10"/>
      <c r="O145" s="10"/>
    </row>
    <row r="146" spans="1:15" x14ac:dyDescent="0.2">
      <c r="A146" s="10"/>
      <c r="B146" s="23"/>
      <c r="C146" s="23"/>
      <c r="N146" s="10"/>
      <c r="O146" s="10"/>
    </row>
    <row r="147" spans="1:15" x14ac:dyDescent="0.2">
      <c r="A147" s="10"/>
      <c r="B147" s="23"/>
      <c r="C147" s="23"/>
      <c r="N147" s="10"/>
      <c r="O147" s="10"/>
    </row>
    <row r="148" spans="1:15" x14ac:dyDescent="0.2">
      <c r="A148" s="10"/>
      <c r="B148" s="23"/>
      <c r="C148" s="23"/>
      <c r="N148" s="10"/>
      <c r="O148" s="10"/>
    </row>
    <row r="149" spans="1:15" x14ac:dyDescent="0.2">
      <c r="A149" s="10"/>
      <c r="B149" s="23"/>
      <c r="C149" s="23"/>
      <c r="N149" s="10"/>
      <c r="O149" s="10"/>
    </row>
    <row r="150" spans="1:15" x14ac:dyDescent="0.2">
      <c r="A150" s="10"/>
      <c r="B150" s="23"/>
      <c r="C150" s="23"/>
      <c r="N150" s="10"/>
      <c r="O150" s="10"/>
    </row>
    <row r="151" spans="1:15" x14ac:dyDescent="0.2">
      <c r="A151" s="10"/>
      <c r="B151" s="23"/>
      <c r="C151" s="23"/>
      <c r="N151" s="10"/>
      <c r="O151" s="10"/>
    </row>
    <row r="152" spans="1:15" x14ac:dyDescent="0.2">
      <c r="A152" s="10"/>
      <c r="B152" s="23"/>
      <c r="C152" s="23"/>
      <c r="N152" s="10"/>
      <c r="O152" s="10"/>
    </row>
    <row r="153" spans="1:15" x14ac:dyDescent="0.2">
      <c r="A153" s="10"/>
      <c r="B153" s="23"/>
      <c r="C153" s="23"/>
      <c r="N153" s="10"/>
      <c r="O153" s="10"/>
    </row>
    <row r="154" spans="1:15" x14ac:dyDescent="0.2">
      <c r="A154" s="10"/>
      <c r="B154" s="23"/>
      <c r="C154" s="23"/>
      <c r="N154" s="10"/>
      <c r="O154" s="10"/>
    </row>
    <row r="155" spans="1:15" x14ac:dyDescent="0.2">
      <c r="A155" s="10"/>
      <c r="B155" s="23"/>
      <c r="C155" s="23"/>
      <c r="N155" s="10"/>
      <c r="O155" s="10"/>
    </row>
    <row r="156" spans="1:15" x14ac:dyDescent="0.2">
      <c r="A156" s="10"/>
      <c r="B156" s="23"/>
      <c r="C156" s="23"/>
      <c r="N156" s="10"/>
      <c r="O156" s="10"/>
    </row>
    <row r="157" spans="1:15" x14ac:dyDescent="0.2">
      <c r="A157" s="10"/>
      <c r="B157" s="23"/>
      <c r="C157" s="23"/>
      <c r="N157" s="10"/>
      <c r="O157" s="10"/>
    </row>
    <row r="158" spans="1:15" x14ac:dyDescent="0.2">
      <c r="A158" s="10"/>
      <c r="B158" s="23"/>
      <c r="C158" s="23"/>
      <c r="N158" s="10"/>
      <c r="O158" s="10"/>
    </row>
    <row r="159" spans="1:15" x14ac:dyDescent="0.2">
      <c r="A159" s="10"/>
      <c r="B159" s="23"/>
      <c r="C159" s="23"/>
      <c r="N159" s="10"/>
      <c r="O159" s="10"/>
    </row>
    <row r="160" spans="1:15" x14ac:dyDescent="0.2">
      <c r="A160" s="10"/>
      <c r="B160" s="23"/>
      <c r="C160" s="23"/>
      <c r="N160" s="10"/>
      <c r="O160" s="10"/>
    </row>
    <row r="161" spans="1:1" x14ac:dyDescent="0.2">
      <c r="A161" s="10"/>
    </row>
  </sheetData>
  <phoneticPr fontId="0" type="noConversion"/>
  <conditionalFormatting sqref="E13:O21 E23:O24 E58:O58 E53:O54 E84:O85 E46:O46 G37:O37 E37 E26:O26 E28:O36 E38:O44 E61:O73 E76:O81">
    <cfRule type="containsBlanks" dxfId="11" priority="35" stopIfTrue="1">
      <formula>LEN(TRIM(E13))=0</formula>
    </cfRule>
  </conditionalFormatting>
  <conditionalFormatting sqref="E55:O55">
    <cfRule type="containsBlanks" dxfId="10" priority="30" stopIfTrue="1">
      <formula>LEN(TRIM(E55))=0</formula>
    </cfRule>
  </conditionalFormatting>
  <conditionalFormatting sqref="E75:O75">
    <cfRule type="containsBlanks" dxfId="9" priority="27" stopIfTrue="1">
      <formula>LEN(TRIM(E75))=0</formula>
    </cfRule>
  </conditionalFormatting>
  <conditionalFormatting sqref="E56:O56">
    <cfRule type="containsBlanks" dxfId="8" priority="25" stopIfTrue="1">
      <formula>LEN(TRIM(E56))=0</formula>
    </cfRule>
  </conditionalFormatting>
  <conditionalFormatting sqref="E22:O22">
    <cfRule type="containsBlanks" dxfId="7" priority="22" stopIfTrue="1">
      <formula>LEN(TRIM(E22))=0</formula>
    </cfRule>
  </conditionalFormatting>
  <conditionalFormatting sqref="E25:O25">
    <cfRule type="containsBlanks" dxfId="6" priority="21" stopIfTrue="1">
      <formula>LEN(TRIM(E25))=0</formula>
    </cfRule>
  </conditionalFormatting>
  <conditionalFormatting sqref="E49:O49">
    <cfRule type="containsBlanks" dxfId="5" priority="18" stopIfTrue="1">
      <formula>LEN(TRIM(E49))=0</formula>
    </cfRule>
  </conditionalFormatting>
  <conditionalFormatting sqref="E57:O57">
    <cfRule type="containsBlanks" dxfId="4" priority="9" stopIfTrue="1">
      <formula>LEN(TRIM(E57))=0</formula>
    </cfRule>
  </conditionalFormatting>
  <conditionalFormatting sqref="E45:O45">
    <cfRule type="containsBlanks" dxfId="3" priority="8" stopIfTrue="1">
      <formula>LEN(TRIM(E45))=0</formula>
    </cfRule>
  </conditionalFormatting>
  <conditionalFormatting sqref="F37">
    <cfRule type="containsBlanks" dxfId="2" priority="6" stopIfTrue="1">
      <formula>LEN(TRIM(F37))=0</formula>
    </cfRule>
  </conditionalFormatting>
  <conditionalFormatting sqref="E27:O27">
    <cfRule type="containsBlanks" dxfId="1" priority="2" stopIfTrue="1">
      <formula>LEN(TRIM(E27))=0</formula>
    </cfRule>
  </conditionalFormatting>
  <conditionalFormatting sqref="E74:O74">
    <cfRule type="containsBlanks" dxfId="0" priority="1" stopIfTrue="1">
      <formula>LEN(TRIM(E74))=0</formula>
    </cfRule>
  </conditionalFormatting>
  <pageMargins left="0.6692913385826772" right="0.43307086614173229" top="0.35" bottom="0.19685039370078741" header="0.19685039370078741" footer="0.19685039370078741"/>
  <pageSetup paperSize="9" scale="63" fitToHeight="2" orientation="landscape" r:id="rId1"/>
  <headerFooter alignWithMargins="0">
    <oddFooter xml:space="preserve">&amp;R&amp;8
&amp;C&amp;8
</oddFooter>
  </headerFooter>
  <rowBreaks count="2" manualBreakCount="2">
    <brk id="46" max="16383" man="1"/>
    <brk id="83" max="14" man="1"/>
  </rowBreaks>
  <colBreaks count="2" manualBreakCount="2">
    <brk id="1" max="1048575" man="1"/>
    <brk id="3" max="1048575" man="1"/>
  </colBreaks>
  <ignoredErrors>
    <ignoredError sqref="D54" formula="1"/>
  </ignoredError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:fields xmlns:f="http://schemas.fabasoft.com/folio/2007/fields">
  <f:record ref="">
    <f:field ref="objname" par="" edit="true" text="Jahresstatistik_Ausfuhren_2014-B"/>
    <f:field ref="objsubject" par="" edit="true" text=""/>
    <f:field ref="objcreatedby" par="" text="Lanfranconi, Joël, SECO"/>
    <f:field ref="objcreatedat" par="" text="12.03.2015 09:17:19"/>
    <f:field ref="objchangedby" par="" text="Lanfranconi, Joël, SECO"/>
    <f:field ref="objmodifiedat" par="" text="12.03.2015 09:17:20"/>
    <f:field ref="doc_FSCFOLIO_1_1001_FieldDocumentNumber" par="" text=""/>
    <f:field ref="doc_FSCFOLIO_1_1001_FieldSubject" par="" edit="true" text=""/>
    <f:field ref="FSCFOLIO_1_1001_FieldCurrentUser" par="" text="SECO Joël Lanfranconi"/>
    <f:field ref="CCAPRECONFIG_15_1001_Objektname" par="" edit="true" text="Jahresstatistik_Ausfuhren_2014-B"/>
    <f:field ref="CHPRECONFIG_1_1001_Objektname" par="" edit="true" text="Jahresstatistik_Ausfuhren_2014-B"/>
  </f:record>
  <f:display par="" text="...">
    <f:field ref="CHPRECONFIG_1_1001_Objektname" text="Classe d'objets"/>
    <f:field ref="objcreatedat" text="Créé le/à"/>
    <f:field ref="objcreatedby" text="Créé par"/>
    <f:field ref="objmodifiedat" text="Dernière modification le/à"/>
    <f:field ref="objchangedby" text="Dernière modification par"/>
    <f:field ref="objname" text="Nom"/>
    <f:field ref="CCAPRECONFIG_15_1001_Objektname" text="Nom d'objet"/>
    <f:field ref="objsubject" text="Sujet (un)"/>
    <f:field ref="FSCFOLIO_1_1001_FieldCurrentUser" text="Utilisateur actuel"/>
  </f:display>
  <f:display par="" text="Publipostage">
    <f:field ref="doc_FSCFOLIO_1_1001_FieldDocumentNumber" text="Numéro de document"/>
    <f:field ref="doc_FSCFOLIO_1_1001_FieldSubject" text="Objet"/>
  </f:display>
</f:fields>
</file>

<file path=customXml/itemProps1.xml><?xml version="1.0" encoding="utf-8"?>
<ds:datastoreItem xmlns:ds="http://schemas.openxmlformats.org/officeDocument/2006/customXml" ds:itemID="{4E8A9591-F074-446B-902F-511FF79C122F}">
  <ds:schemaRefs>
    <ds:schemaRef ds:uri="http://schemas.fabasoft.com/folio/2007/field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2</vt:i4>
      </vt:variant>
    </vt:vector>
  </HeadingPairs>
  <TitlesOfParts>
    <vt:vector size="3" baseType="lpstr">
      <vt:lpstr>KM pro Land</vt:lpstr>
      <vt:lpstr>'KM pro Land'!Impression_des_titres</vt:lpstr>
      <vt:lpstr>'KM pro Land'!Zone_d_impression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GPK'04: JAHRESSTATISTIK AUSFUHREN 2004 NACH KATEGORIE UND LAND (STAND: 30.12.2004)</dc:title>
  <dc:subject>TAB</dc:subject>
  <dc:creator>LJO</dc:creator>
  <cp:lastModifiedBy>Lanfranconi Joël SECO</cp:lastModifiedBy>
  <cp:lastPrinted>2018-03-29T09:45:00Z</cp:lastPrinted>
  <dcterms:created xsi:type="dcterms:W3CDTF">2000-09-29T06:35:32Z</dcterms:created>
  <dcterms:modified xsi:type="dcterms:W3CDTF">2019-06-19T07:12:21Z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SC#COOSYSTEM@1.1:Container">
    <vt:lpwstr>COO.2101.104.7.887389</vt:lpwstr>
  </property>
  <property fmtid="{D5CDD505-2E9C-101B-9397-08002B2CF9AE}" pid="3" name="FSC#COOELAK@1.1001:Subject">
    <vt:lpwstr/>
  </property>
  <property fmtid="{D5CDD505-2E9C-101B-9397-08002B2CF9AE}" pid="4" name="FSC#COOELAK@1.1001:FileReference">
    <vt:lpwstr>844.6-00001</vt:lpwstr>
  </property>
  <property fmtid="{D5CDD505-2E9C-101B-9397-08002B2CF9AE}" pid="5" name="FSC#COOELAK@1.1001:FileRefYear">
    <vt:lpwstr>2015</vt:lpwstr>
  </property>
  <property fmtid="{D5CDD505-2E9C-101B-9397-08002B2CF9AE}" pid="6" name="FSC#COOELAK@1.1001:FileRefOrdinal">
    <vt:lpwstr>1</vt:lpwstr>
  </property>
  <property fmtid="{D5CDD505-2E9C-101B-9397-08002B2CF9AE}" pid="7" name="FSC#COOELAK@1.1001:FileRefOU">
    <vt:lpwstr>BWRP / SECO</vt:lpwstr>
  </property>
  <property fmtid="{D5CDD505-2E9C-101B-9397-08002B2CF9AE}" pid="8" name="FSC#COOELAK@1.1001:Organization">
    <vt:lpwstr/>
  </property>
  <property fmtid="{D5CDD505-2E9C-101B-9397-08002B2CF9AE}" pid="9" name="FSC#COOELAK@1.1001:Owner">
    <vt:lpwstr>Lanfranconi Joël, SECO</vt:lpwstr>
  </property>
  <property fmtid="{D5CDD505-2E9C-101B-9397-08002B2CF9AE}" pid="10" name="FSC#COOELAK@1.1001:OwnerExtension">
    <vt:lpwstr>+41 58 464 50 69</vt:lpwstr>
  </property>
  <property fmtid="{D5CDD505-2E9C-101B-9397-08002B2CF9AE}" pid="11" name="FSC#COOELAK@1.1001:OwnerFaxExtension">
    <vt:lpwstr>+41 58 464 50 19</vt:lpwstr>
  </property>
  <property fmtid="{D5CDD505-2E9C-101B-9397-08002B2CF9AE}" pid="12" name="FSC#COOELAK@1.1001:DispatchedBy">
    <vt:lpwstr/>
  </property>
  <property fmtid="{D5CDD505-2E9C-101B-9397-08002B2CF9AE}" pid="13" name="FSC#COOELAK@1.1001:DispatchedAt">
    <vt:lpwstr/>
  </property>
  <property fmtid="{D5CDD505-2E9C-101B-9397-08002B2CF9AE}" pid="14" name="FSC#COOELAK@1.1001:ApprovedBy">
    <vt:lpwstr/>
  </property>
  <property fmtid="{D5CDD505-2E9C-101B-9397-08002B2CF9AE}" pid="15" name="FSC#COOELAK@1.1001:ApprovedAt">
    <vt:lpwstr/>
  </property>
  <property fmtid="{D5CDD505-2E9C-101B-9397-08002B2CF9AE}" pid="16" name="FSC#COOELAK@1.1001:Department">
    <vt:lpwstr>Maîtrise des armements et politique de la maîtrise des armements (BWRP / SECO)</vt:lpwstr>
  </property>
  <property fmtid="{D5CDD505-2E9C-101B-9397-08002B2CF9AE}" pid="17" name="FSC#COOELAK@1.1001:CreatedAt">
    <vt:lpwstr>12.03.2015</vt:lpwstr>
  </property>
  <property fmtid="{D5CDD505-2E9C-101B-9397-08002B2CF9AE}" pid="18" name="FSC#COOELAK@1.1001:OU">
    <vt:lpwstr>Maîtrise des armements et politique de la maîtrise des armements (BWRP / SECO)</vt:lpwstr>
  </property>
  <property fmtid="{D5CDD505-2E9C-101B-9397-08002B2CF9AE}" pid="19" name="FSC#COOELAK@1.1001:Priority">
    <vt:lpwstr> ()</vt:lpwstr>
  </property>
  <property fmtid="{D5CDD505-2E9C-101B-9397-08002B2CF9AE}" pid="20" name="FSC#COOELAK@1.1001:ObjBarCode">
    <vt:lpwstr>*COO.2101.104.7.887389*</vt:lpwstr>
  </property>
  <property fmtid="{D5CDD505-2E9C-101B-9397-08002B2CF9AE}" pid="21" name="FSC#COOELAK@1.1001:RefBarCode">
    <vt:lpwstr>*COO.2101.104.4.887389*</vt:lpwstr>
  </property>
  <property fmtid="{D5CDD505-2E9C-101B-9397-08002B2CF9AE}" pid="22" name="FSC#COOELAK@1.1001:FileRefBarCode">
    <vt:lpwstr>*844.6-00001*</vt:lpwstr>
  </property>
  <property fmtid="{D5CDD505-2E9C-101B-9397-08002B2CF9AE}" pid="23" name="FSC#COOELAK@1.1001:ExternalRef">
    <vt:lpwstr/>
  </property>
  <property fmtid="{D5CDD505-2E9C-101B-9397-08002B2CF9AE}" pid="24" name="FSC#EVDCFG@15.1400:Dossierref">
    <vt:lpwstr>844.6-00001</vt:lpwstr>
  </property>
  <property fmtid="{D5CDD505-2E9C-101B-9397-08002B2CF9AE}" pid="25" name="FSC#EVDCFG@15.1400:FileRespEmail">
    <vt:lpwstr/>
  </property>
  <property fmtid="{D5CDD505-2E9C-101B-9397-08002B2CF9AE}" pid="26" name="FSC#EVDCFG@15.1400:FileRespFax">
    <vt:lpwstr/>
  </property>
  <property fmtid="{D5CDD505-2E9C-101B-9397-08002B2CF9AE}" pid="27" name="FSC#EVDCFG@15.1400:FileRespHome">
    <vt:lpwstr/>
  </property>
  <property fmtid="{D5CDD505-2E9C-101B-9397-08002B2CF9AE}" pid="28" name="FSC#EVDCFG@15.1400:FileResponsible">
    <vt:lpwstr/>
  </property>
  <property fmtid="{D5CDD505-2E9C-101B-9397-08002B2CF9AE}" pid="29" name="FSC#EVDCFG@15.1400:FileRespOrg">
    <vt:lpwstr>Maîtrise des armements et politique de la maîtrise des armements</vt:lpwstr>
  </property>
  <property fmtid="{D5CDD505-2E9C-101B-9397-08002B2CF9AE}" pid="30" name="FSC#EVDCFG@15.1400:FileRespOrgHome">
    <vt:lpwstr/>
  </property>
  <property fmtid="{D5CDD505-2E9C-101B-9397-08002B2CF9AE}" pid="31" name="FSC#EVDCFG@15.1400:FileRespOrgStreet">
    <vt:lpwstr/>
  </property>
  <property fmtid="{D5CDD505-2E9C-101B-9397-08002B2CF9AE}" pid="32" name="FSC#EVDCFG@15.1400:FileRespOrgZipCode">
    <vt:lpwstr/>
  </property>
  <property fmtid="{D5CDD505-2E9C-101B-9397-08002B2CF9AE}" pid="33" name="FSC#EVDCFG@15.1400:FileRespshortsign">
    <vt:lpwstr/>
  </property>
  <property fmtid="{D5CDD505-2E9C-101B-9397-08002B2CF9AE}" pid="34" name="FSC#EVDCFG@15.1400:FileRespStreet">
    <vt:lpwstr/>
  </property>
  <property fmtid="{D5CDD505-2E9C-101B-9397-08002B2CF9AE}" pid="35" name="FSC#EVDCFG@15.1400:FileRespTel">
    <vt:lpwstr/>
  </property>
  <property fmtid="{D5CDD505-2E9C-101B-9397-08002B2CF9AE}" pid="36" name="FSC#EVDCFG@15.1400:FileRespZipCode">
    <vt:lpwstr/>
  </property>
  <property fmtid="{D5CDD505-2E9C-101B-9397-08002B2CF9AE}" pid="37" name="FSC#EVDCFG@15.1400:OutAttachElectr">
    <vt:lpwstr/>
  </property>
  <property fmtid="{D5CDD505-2E9C-101B-9397-08002B2CF9AE}" pid="38" name="FSC#EVDCFG@15.1400:OutAttachPhysic">
    <vt:lpwstr/>
  </property>
  <property fmtid="{D5CDD505-2E9C-101B-9397-08002B2CF9AE}" pid="39" name="FSC#EVDCFG@15.1400:SignAcceptedDraft1">
    <vt:lpwstr/>
  </property>
  <property fmtid="{D5CDD505-2E9C-101B-9397-08002B2CF9AE}" pid="40" name="FSC#EVDCFG@15.1400:SignAcceptedDraft1FR">
    <vt:lpwstr/>
  </property>
  <property fmtid="{D5CDD505-2E9C-101B-9397-08002B2CF9AE}" pid="41" name="FSC#EVDCFG@15.1400:SignAcceptedDraft2">
    <vt:lpwstr/>
  </property>
  <property fmtid="{D5CDD505-2E9C-101B-9397-08002B2CF9AE}" pid="42" name="FSC#EVDCFG@15.1400:SignAcceptedDraft2FR">
    <vt:lpwstr/>
  </property>
  <property fmtid="{D5CDD505-2E9C-101B-9397-08002B2CF9AE}" pid="43" name="FSC#EVDCFG@15.1400:SignApproved1">
    <vt:lpwstr/>
  </property>
  <property fmtid="{D5CDD505-2E9C-101B-9397-08002B2CF9AE}" pid="44" name="FSC#EVDCFG@15.1400:SignApproved1FR">
    <vt:lpwstr/>
  </property>
  <property fmtid="{D5CDD505-2E9C-101B-9397-08002B2CF9AE}" pid="45" name="FSC#EVDCFG@15.1400:SignApproved2">
    <vt:lpwstr/>
  </property>
  <property fmtid="{D5CDD505-2E9C-101B-9397-08002B2CF9AE}" pid="46" name="FSC#EVDCFG@15.1400:SignApproved2FR">
    <vt:lpwstr/>
  </property>
  <property fmtid="{D5CDD505-2E9C-101B-9397-08002B2CF9AE}" pid="47" name="FSC#EVDCFG@15.1400:SubDossierBarCode">
    <vt:lpwstr/>
  </property>
  <property fmtid="{D5CDD505-2E9C-101B-9397-08002B2CF9AE}" pid="48" name="FSC#EVDCFG@15.1400:Subject">
    <vt:lpwstr/>
  </property>
  <property fmtid="{D5CDD505-2E9C-101B-9397-08002B2CF9AE}" pid="49" name="FSC#EVDCFG@15.1400:Title">
    <vt:lpwstr>Jahresstatistik_Ausfuhren_2014-B</vt:lpwstr>
  </property>
  <property fmtid="{D5CDD505-2E9C-101B-9397-08002B2CF9AE}" pid="50" name="FSC#EVDCFG@15.1400:UserFunction">
    <vt:lpwstr/>
  </property>
  <property fmtid="{D5CDD505-2E9C-101B-9397-08002B2CF9AE}" pid="51" name="FSC#EVDCFG@15.1400:SalutationEnglish">
    <vt:lpwstr>Bilateral Economic Relations_x000d_
Arms control and arms control policy</vt:lpwstr>
  </property>
  <property fmtid="{D5CDD505-2E9C-101B-9397-08002B2CF9AE}" pid="52" name="FSC#EVDCFG@15.1400:SalutationFrench">
    <vt:lpwstr>Relations économiques bilatérales_x000d_
Maîtrise des armements et politique de la maîtrise des armements</vt:lpwstr>
  </property>
  <property fmtid="{D5CDD505-2E9C-101B-9397-08002B2CF9AE}" pid="53" name="FSC#EVDCFG@15.1400:SalutationGerman">
    <vt:lpwstr>Bilaterale Wirtschaftsbeziehungen_x000d_
Rüstungskontrolle und Rüstungskontrollpolitik</vt:lpwstr>
  </property>
  <property fmtid="{D5CDD505-2E9C-101B-9397-08002B2CF9AE}" pid="54" name="FSC#EVDCFG@15.1400:SalutationItalian">
    <vt:lpwstr>Relazioni economiche bilaterali_x000d_
Controllo degli armamenti e politica del controllo degli armamenti</vt:lpwstr>
  </property>
  <property fmtid="{D5CDD505-2E9C-101B-9397-08002B2CF9AE}" pid="55" name="FSC#EVDCFG@15.1400:SalutationEnglishUser">
    <vt:lpwstr/>
  </property>
  <property fmtid="{D5CDD505-2E9C-101B-9397-08002B2CF9AE}" pid="56" name="FSC#EVDCFG@15.1400:SalutationFrenchUser">
    <vt:lpwstr/>
  </property>
  <property fmtid="{D5CDD505-2E9C-101B-9397-08002B2CF9AE}" pid="57" name="FSC#EVDCFG@15.1400:SalutationGermanUser">
    <vt:lpwstr/>
  </property>
  <property fmtid="{D5CDD505-2E9C-101B-9397-08002B2CF9AE}" pid="58" name="FSC#EVDCFG@15.1400:SalutationItalianUser">
    <vt:lpwstr/>
  </property>
  <property fmtid="{D5CDD505-2E9C-101B-9397-08002B2CF9AE}" pid="59" name="FSC#COOELAK@1.1001:IncomingNumber">
    <vt:lpwstr/>
  </property>
  <property fmtid="{D5CDD505-2E9C-101B-9397-08002B2CF9AE}" pid="60" name="FSC#COOELAK@1.1001:IncomingSubject">
    <vt:lpwstr/>
  </property>
  <property fmtid="{D5CDD505-2E9C-101B-9397-08002B2CF9AE}" pid="61" name="FSC#COOELAK@1.1001:ProcessResponsible">
    <vt:lpwstr/>
  </property>
  <property fmtid="{D5CDD505-2E9C-101B-9397-08002B2CF9AE}" pid="62" name="FSC#COOELAK@1.1001:ProcessResponsiblePhone">
    <vt:lpwstr/>
  </property>
  <property fmtid="{D5CDD505-2E9C-101B-9397-08002B2CF9AE}" pid="63" name="FSC#COOELAK@1.1001:ProcessResponsibleMail">
    <vt:lpwstr/>
  </property>
  <property fmtid="{D5CDD505-2E9C-101B-9397-08002B2CF9AE}" pid="64" name="FSC#COOELAK@1.1001:ProcessResponsibleFax">
    <vt:lpwstr/>
  </property>
  <property fmtid="{D5CDD505-2E9C-101B-9397-08002B2CF9AE}" pid="65" name="FSC#COOELAK@1.1001:ApproverFirstName">
    <vt:lpwstr/>
  </property>
  <property fmtid="{D5CDD505-2E9C-101B-9397-08002B2CF9AE}" pid="66" name="FSC#COOELAK@1.1001:ApproverSurName">
    <vt:lpwstr/>
  </property>
  <property fmtid="{D5CDD505-2E9C-101B-9397-08002B2CF9AE}" pid="67" name="FSC#COOELAK@1.1001:ApproverTitle">
    <vt:lpwstr/>
  </property>
  <property fmtid="{D5CDD505-2E9C-101B-9397-08002B2CF9AE}" pid="68" name="FSC#COOELAK@1.1001:ExternalDate">
    <vt:lpwstr/>
  </property>
  <property fmtid="{D5CDD505-2E9C-101B-9397-08002B2CF9AE}" pid="69" name="FSC#COOELAK@1.1001:SettlementApprovedAt">
    <vt:lpwstr/>
  </property>
  <property fmtid="{D5CDD505-2E9C-101B-9397-08002B2CF9AE}" pid="70" name="FSC#COOELAK@1.1001:BaseNumber">
    <vt:lpwstr>844.6</vt:lpwstr>
  </property>
  <property fmtid="{D5CDD505-2E9C-101B-9397-08002B2CF9AE}" pid="71" name="FSC#ELAKGOV@1.1001:PersonalSubjGender">
    <vt:lpwstr/>
  </property>
  <property fmtid="{D5CDD505-2E9C-101B-9397-08002B2CF9AE}" pid="72" name="FSC#ELAKGOV@1.1001:PersonalSubjFirstName">
    <vt:lpwstr/>
  </property>
  <property fmtid="{D5CDD505-2E9C-101B-9397-08002B2CF9AE}" pid="73" name="FSC#ELAKGOV@1.1001:PersonalSubjSurName">
    <vt:lpwstr/>
  </property>
  <property fmtid="{D5CDD505-2E9C-101B-9397-08002B2CF9AE}" pid="74" name="FSC#ELAKGOV@1.1001:PersonalSubjSalutation">
    <vt:lpwstr/>
  </property>
  <property fmtid="{D5CDD505-2E9C-101B-9397-08002B2CF9AE}" pid="75" name="FSC#ELAKGOV@1.1001:PersonalSubjAddress">
    <vt:lpwstr/>
  </property>
  <property fmtid="{D5CDD505-2E9C-101B-9397-08002B2CF9AE}" pid="76" name="FSC#EVDCFG@15.1400:PositionNumber">
    <vt:lpwstr/>
  </property>
  <property fmtid="{D5CDD505-2E9C-101B-9397-08002B2CF9AE}" pid="77" name="FSC#EVDCFG@15.1400:FileRespOrgShortname">
    <vt:lpwstr>BWRP / SECO</vt:lpwstr>
  </property>
  <property fmtid="{D5CDD505-2E9C-101B-9397-08002B2CF9AE}" pid="82" name="FSC#EVDCFG@15.1400:UserInCharge">
    <vt:lpwstr/>
  </property>
  <property fmtid="{D5CDD505-2E9C-101B-9397-08002B2CF9AE}" pid="84" name="FSC#COOELAK@1.1001:CurrentUserRolePos">
    <vt:lpwstr>Spécialiste</vt:lpwstr>
  </property>
  <property fmtid="{D5CDD505-2E9C-101B-9397-08002B2CF9AE}" pid="85" name="FSC#COOELAK@1.1001:CurrentUserEmail">
    <vt:lpwstr>joel.lanfranconi@seco.admin.ch</vt:lpwstr>
  </property>
  <property fmtid="{D5CDD505-2E9C-101B-9397-08002B2CF9AE}" pid="86" name="FSC#EVDCFG@15.1400:ActualVersionNumber">
    <vt:lpwstr>1</vt:lpwstr>
  </property>
  <property fmtid="{D5CDD505-2E9C-101B-9397-08002B2CF9AE}" pid="87" name="FSC#EVDCFG@15.1400:ActualVersionCreatedAt">
    <vt:lpwstr>2015-03-12T09:17:19</vt:lpwstr>
  </property>
  <property fmtid="{D5CDD505-2E9C-101B-9397-08002B2CF9AE}" pid="88" name="FSC#EVDCFG@15.1400:ResponsibleBureau_DE">
    <vt:lpwstr>Staatssekretariat für Wirtschaft SECO</vt:lpwstr>
  </property>
  <property fmtid="{D5CDD505-2E9C-101B-9397-08002B2CF9AE}" pid="89" name="FSC#EVDCFG@15.1400:ResponsibleBureau_EN">
    <vt:lpwstr>State Secretariat for Economic Affairs SECO</vt:lpwstr>
  </property>
  <property fmtid="{D5CDD505-2E9C-101B-9397-08002B2CF9AE}" pid="90" name="FSC#EVDCFG@15.1400:ResponsibleBureau_FR">
    <vt:lpwstr>Secrétariat d'Etat à l'économie SECO</vt:lpwstr>
  </property>
  <property fmtid="{D5CDD505-2E9C-101B-9397-08002B2CF9AE}" pid="91" name="FSC#EVDCFG@15.1400:ResponsibleBureau_IT">
    <vt:lpwstr>Segreteria di Stato dell'economia SECO</vt:lpwstr>
  </property>
  <property fmtid="{D5CDD505-2E9C-101B-9397-08002B2CF9AE}" pid="92" name="FSC#EVDCFG@15.1400:UserInChargeUserTitle">
    <vt:lpwstr/>
  </property>
  <property fmtid="{D5CDD505-2E9C-101B-9397-08002B2CF9AE}" pid="93" name="FSC#EVDCFG@15.1400:UserInChargeUserName">
    <vt:lpwstr/>
  </property>
  <property fmtid="{D5CDD505-2E9C-101B-9397-08002B2CF9AE}" pid="94" name="FSC#EVDCFG@15.1400:UserInChargeUserFirstname">
    <vt:lpwstr/>
  </property>
  <property fmtid="{D5CDD505-2E9C-101B-9397-08002B2CF9AE}" pid="95" name="FSC#EVDCFG@15.1400:UserInChargeUserEnvSalutationDE">
    <vt:lpwstr/>
  </property>
  <property fmtid="{D5CDD505-2E9C-101B-9397-08002B2CF9AE}" pid="96" name="FSC#EVDCFG@15.1400:UserInChargeUserEnvSalutationEN">
    <vt:lpwstr/>
  </property>
  <property fmtid="{D5CDD505-2E9C-101B-9397-08002B2CF9AE}" pid="97" name="FSC#EVDCFG@15.1400:UserInChargeUserEnvSalutationFR">
    <vt:lpwstr/>
  </property>
  <property fmtid="{D5CDD505-2E9C-101B-9397-08002B2CF9AE}" pid="98" name="FSC#EVDCFG@15.1400:UserInChargeUserEnvSalutationIT">
    <vt:lpwstr/>
  </property>
  <property fmtid="{D5CDD505-2E9C-101B-9397-08002B2CF9AE}" pid="99" name="FSC#EVDCFG@15.1400:FilerespUserPersonTitle">
    <vt:lpwstr/>
  </property>
  <property fmtid="{D5CDD505-2E9C-101B-9397-08002B2CF9AE}" pid="100" name="FSC#EVDCFG@15.1400:Address">
    <vt:lpwstr/>
  </property>
  <property fmtid="{D5CDD505-2E9C-101B-9397-08002B2CF9AE}" pid="101" name="FSC#EVDCFG@15.1400:DocumentID">
    <vt:lpwstr/>
  </property>
  <property fmtid="{D5CDD505-2E9C-101B-9397-08002B2CF9AE}" pid="102" name="FSC#EVDCFG@15.1400:DossierBarCode">
    <vt:lpwstr/>
  </property>
  <property fmtid="{D5CDD505-2E9C-101B-9397-08002B2CF9AE}" pid="103" name="FSC#EVDCFG@15.1400:ResponsibleEditorFirstname">
    <vt:lpwstr/>
  </property>
  <property fmtid="{D5CDD505-2E9C-101B-9397-08002B2CF9AE}" pid="104" name="FSC#EVDCFG@15.1400:ResponsibleEditorSurname">
    <vt:lpwstr/>
  </property>
  <property fmtid="{D5CDD505-2E9C-101B-9397-08002B2CF9AE}" pid="105" name="FSC#EVDCFG@15.1400:GroupTitle">
    <vt:lpwstr>Maîtrise des armements et politique de la maîtrise des armements</vt:lpwstr>
  </property>
  <property fmtid="{D5CDD505-2E9C-101B-9397-08002B2CF9AE}" pid="106" name="FSC#ATSTATECFG@1.1001:Office">
    <vt:lpwstr/>
  </property>
  <property fmtid="{D5CDD505-2E9C-101B-9397-08002B2CF9AE}" pid="107" name="FSC#ATSTATECFG@1.1001:Agent">
    <vt:lpwstr/>
  </property>
  <property fmtid="{D5CDD505-2E9C-101B-9397-08002B2CF9AE}" pid="108" name="FSC#ATSTATECFG@1.1001:AgentPhone">
    <vt:lpwstr/>
  </property>
  <property fmtid="{D5CDD505-2E9C-101B-9397-08002B2CF9AE}" pid="109" name="FSC#ATSTATECFG@1.1001:DepartmentFax">
    <vt:lpwstr/>
  </property>
  <property fmtid="{D5CDD505-2E9C-101B-9397-08002B2CF9AE}" pid="110" name="FSC#ATSTATECFG@1.1001:DepartmentEmail">
    <vt:lpwstr/>
  </property>
  <property fmtid="{D5CDD505-2E9C-101B-9397-08002B2CF9AE}" pid="111" name="FSC#ATSTATECFG@1.1001:SubfileDate">
    <vt:lpwstr/>
  </property>
  <property fmtid="{D5CDD505-2E9C-101B-9397-08002B2CF9AE}" pid="112" name="FSC#ATSTATECFG@1.1001:SubfileSubject">
    <vt:lpwstr>Jahresstatistik_Ausfuhren_2014-B</vt:lpwstr>
  </property>
  <property fmtid="{D5CDD505-2E9C-101B-9397-08002B2CF9AE}" pid="113" name="FSC#ATSTATECFG@1.1001:DepartmentZipCode">
    <vt:lpwstr/>
  </property>
  <property fmtid="{D5CDD505-2E9C-101B-9397-08002B2CF9AE}" pid="114" name="FSC#ATSTATECFG@1.1001:DepartmentCountry">
    <vt:lpwstr/>
  </property>
  <property fmtid="{D5CDD505-2E9C-101B-9397-08002B2CF9AE}" pid="115" name="FSC#ATSTATECFG@1.1001:DepartmentCity">
    <vt:lpwstr/>
  </property>
  <property fmtid="{D5CDD505-2E9C-101B-9397-08002B2CF9AE}" pid="116" name="FSC#ATSTATECFG@1.1001:DepartmentStreet">
    <vt:lpwstr/>
  </property>
  <property fmtid="{D5CDD505-2E9C-101B-9397-08002B2CF9AE}" pid="117" name="FSC#ATSTATECFG@1.1001:DepartmentDVR">
    <vt:lpwstr/>
  </property>
  <property fmtid="{D5CDD505-2E9C-101B-9397-08002B2CF9AE}" pid="118" name="FSC#ATSTATECFG@1.1001:DepartmentUID">
    <vt:lpwstr/>
  </property>
  <property fmtid="{D5CDD505-2E9C-101B-9397-08002B2CF9AE}" pid="119" name="FSC#ATSTATECFG@1.1001:SubfileReference">
    <vt:lpwstr>844.6-00001/00001</vt:lpwstr>
  </property>
  <property fmtid="{D5CDD505-2E9C-101B-9397-08002B2CF9AE}" pid="120" name="FSC#ATSTATECFG@1.1001:Clause">
    <vt:lpwstr/>
  </property>
  <property fmtid="{D5CDD505-2E9C-101B-9397-08002B2CF9AE}" pid="121" name="FSC#ATSTATECFG@1.1001:ApprovedSignature">
    <vt:lpwstr/>
  </property>
  <property fmtid="{D5CDD505-2E9C-101B-9397-08002B2CF9AE}" pid="122" name="FSC#ATSTATECFG@1.1001:BankAccount">
    <vt:lpwstr/>
  </property>
  <property fmtid="{D5CDD505-2E9C-101B-9397-08002B2CF9AE}" pid="123" name="FSC#ATSTATECFG@1.1001:BankAccountOwner">
    <vt:lpwstr/>
  </property>
  <property fmtid="{D5CDD505-2E9C-101B-9397-08002B2CF9AE}" pid="124" name="FSC#ATSTATECFG@1.1001:BankInstitute">
    <vt:lpwstr/>
  </property>
  <property fmtid="{D5CDD505-2E9C-101B-9397-08002B2CF9AE}" pid="125" name="FSC#ATSTATECFG@1.1001:BankAccountID">
    <vt:lpwstr/>
  </property>
  <property fmtid="{D5CDD505-2E9C-101B-9397-08002B2CF9AE}" pid="126" name="FSC#ATSTATECFG@1.1001:BankAccountIBAN">
    <vt:lpwstr/>
  </property>
  <property fmtid="{D5CDD505-2E9C-101B-9397-08002B2CF9AE}" pid="127" name="FSC#ATSTATECFG@1.1001:BankAccountBIC">
    <vt:lpwstr/>
  </property>
  <property fmtid="{D5CDD505-2E9C-101B-9397-08002B2CF9AE}" pid="128" name="FSC#ATSTATECFG@1.1001:BankName">
    <vt:lpwstr/>
  </property>
  <property fmtid="{D5CDD505-2E9C-101B-9397-08002B2CF9AE}" pid="129" name="FSC#CCAPRECONFIG@15.1001:AddrAnrede">
    <vt:lpwstr/>
  </property>
  <property fmtid="{D5CDD505-2E9C-101B-9397-08002B2CF9AE}" pid="130" name="FSC#CCAPRECONFIG@15.1001:AddrTitel">
    <vt:lpwstr/>
  </property>
  <property fmtid="{D5CDD505-2E9C-101B-9397-08002B2CF9AE}" pid="131" name="FSC#CCAPRECONFIG@15.1001:AddrNachgestellter_Titel">
    <vt:lpwstr/>
  </property>
  <property fmtid="{D5CDD505-2E9C-101B-9397-08002B2CF9AE}" pid="132" name="FSC#CCAPRECONFIG@15.1001:AddrVorname">
    <vt:lpwstr/>
  </property>
  <property fmtid="{D5CDD505-2E9C-101B-9397-08002B2CF9AE}" pid="133" name="FSC#CCAPRECONFIG@15.1001:AddrNachname">
    <vt:lpwstr/>
  </property>
  <property fmtid="{D5CDD505-2E9C-101B-9397-08002B2CF9AE}" pid="134" name="FSC#CCAPRECONFIG@15.1001:AddrzH">
    <vt:lpwstr/>
  </property>
  <property fmtid="{D5CDD505-2E9C-101B-9397-08002B2CF9AE}" pid="135" name="FSC#CCAPRECONFIG@15.1001:AddrGeschlecht">
    <vt:lpwstr/>
  </property>
  <property fmtid="{D5CDD505-2E9C-101B-9397-08002B2CF9AE}" pid="136" name="FSC#CCAPRECONFIG@15.1001:AddrStrasse">
    <vt:lpwstr/>
  </property>
  <property fmtid="{D5CDD505-2E9C-101B-9397-08002B2CF9AE}" pid="137" name="FSC#CCAPRECONFIG@15.1001:AddrHausnummer">
    <vt:lpwstr/>
  </property>
  <property fmtid="{D5CDD505-2E9C-101B-9397-08002B2CF9AE}" pid="138" name="FSC#CCAPRECONFIG@15.1001:AddrStiege">
    <vt:lpwstr/>
  </property>
  <property fmtid="{D5CDD505-2E9C-101B-9397-08002B2CF9AE}" pid="139" name="FSC#CCAPRECONFIG@15.1001:AddrTuer">
    <vt:lpwstr/>
  </property>
  <property fmtid="{D5CDD505-2E9C-101B-9397-08002B2CF9AE}" pid="140" name="FSC#CCAPRECONFIG@15.1001:AddrPostfach">
    <vt:lpwstr/>
  </property>
  <property fmtid="{D5CDD505-2E9C-101B-9397-08002B2CF9AE}" pid="141" name="FSC#CCAPRECONFIG@15.1001:AddrPostleitzahl">
    <vt:lpwstr/>
  </property>
  <property fmtid="{D5CDD505-2E9C-101B-9397-08002B2CF9AE}" pid="142" name="FSC#CCAPRECONFIG@15.1001:AddrOrt">
    <vt:lpwstr/>
  </property>
  <property fmtid="{D5CDD505-2E9C-101B-9397-08002B2CF9AE}" pid="143" name="FSC#CCAPRECONFIG@15.1001:AddrLand">
    <vt:lpwstr/>
  </property>
  <property fmtid="{D5CDD505-2E9C-101B-9397-08002B2CF9AE}" pid="144" name="FSC#CCAPRECONFIG@15.1001:AddrEmail">
    <vt:lpwstr/>
  </property>
  <property fmtid="{D5CDD505-2E9C-101B-9397-08002B2CF9AE}" pid="145" name="FSC#CCAPRECONFIG@15.1001:AddrAdresse">
    <vt:lpwstr/>
  </property>
  <property fmtid="{D5CDD505-2E9C-101B-9397-08002B2CF9AE}" pid="146" name="FSC#CCAPRECONFIG@15.1001:AddrFax">
    <vt:lpwstr/>
  </property>
  <property fmtid="{D5CDD505-2E9C-101B-9397-08002B2CF9AE}" pid="147" name="FSC#CCAPRECONFIG@15.1001:AddrOrganisationsname">
    <vt:lpwstr/>
  </property>
  <property fmtid="{D5CDD505-2E9C-101B-9397-08002B2CF9AE}" pid="148" name="FSC#CCAPRECONFIG@15.1001:AddrOrganisationskurzname">
    <vt:lpwstr/>
  </property>
  <property fmtid="{D5CDD505-2E9C-101B-9397-08002B2CF9AE}" pid="149" name="FSC#CCAPRECONFIG@15.1001:AddrAbschriftsbemerkung">
    <vt:lpwstr/>
  </property>
  <property fmtid="{D5CDD505-2E9C-101B-9397-08002B2CF9AE}" pid="150" name="FSC#CCAPRECONFIG@15.1001:AddrName_Zeile_2">
    <vt:lpwstr/>
  </property>
  <property fmtid="{D5CDD505-2E9C-101B-9397-08002B2CF9AE}" pid="151" name="FSC#CCAPRECONFIG@15.1001:AddrName_Zeile_3">
    <vt:lpwstr/>
  </property>
  <property fmtid="{D5CDD505-2E9C-101B-9397-08002B2CF9AE}" pid="152" name="FSC#CCAPRECONFIG@15.1001:AddrPostalischeAdresse">
    <vt:lpwstr/>
  </property>
  <property fmtid="{D5CDD505-2E9C-101B-9397-08002B2CF9AE}" pid="153" name="FSC#FSCFOLIO@1.1001:docpropproject">
    <vt:lpwstr/>
  </property>
</Properties>
</file>
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\\adb.intra.admin.ch\Userhome$\All\config\Desktop\"/>
    </mc:Choice>
  </mc:AlternateContent>
  <bookViews>
    <workbookView xWindow="-15" yWindow="-15" windowWidth="9795" windowHeight="5880" tabRatio="772"/>
  </bookViews>
  <sheets>
    <sheet name="KM pro Land" sheetId="1" r:id="rId1"/>
  </sheets>
  <definedNames>
    <definedName name="_xlnm.Print_Titles" localSheetId="0">'KM pro Land'!$8:$10</definedName>
    <definedName name="_xlnm.Print_Area" localSheetId="0">'KM pro Land'!$A:$Q</definedName>
  </definedNames>
  <calcPr calcId="162913"/>
</workbook>
</file>

<file path=xl/calcChain.xml><?xml version="1.0" encoding="utf-8"?>
<calcChain xmlns="http://schemas.openxmlformats.org/spreadsheetml/2006/main">
  <c r="D45" i="1" l="1"/>
  <c r="D44" i="1"/>
  <c r="I11" i="1" l="1"/>
  <c r="J11" i="1"/>
  <c r="K11" i="1"/>
  <c r="L11" i="1"/>
  <c r="M11" i="1"/>
  <c r="N11" i="1" l="1"/>
  <c r="O11" i="1"/>
  <c r="P11" i="1"/>
  <c r="H11" i="1"/>
  <c r="G11" i="1"/>
  <c r="F11" i="1"/>
  <c r="E11" i="1"/>
  <c r="D62" i="1"/>
  <c r="D49" i="1"/>
  <c r="D37" i="1"/>
  <c r="D79" i="1"/>
  <c r="D60" i="1"/>
  <c r="D59" i="1" l="1"/>
  <c r="D58" i="1"/>
  <c r="D48" i="1"/>
  <c r="D86" i="1" l="1"/>
  <c r="D8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80" i="1"/>
  <c r="D81" i="1"/>
  <c r="D82" i="1"/>
  <c r="D65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8" i="1"/>
  <c r="D39" i="1"/>
  <c r="D40" i="1"/>
  <c r="D41" i="1"/>
  <c r="D42" i="1"/>
  <c r="D43" i="1"/>
  <c r="D50" i="1"/>
  <c r="D56" i="1"/>
  <c r="D57" i="1"/>
  <c r="D61" i="1"/>
  <c r="D55" i="1"/>
  <c r="D51" i="1" l="1"/>
  <c r="D63" i="1"/>
  <c r="D87" i="1"/>
  <c r="D83" i="1"/>
  <c r="D46" i="1"/>
  <c r="D11" i="1" l="1"/>
</calcChain>
</file>

<file path=xl/sharedStrings.xml><?xml version="1.0" encoding="utf-8"?>
<sst xmlns="http://schemas.openxmlformats.org/spreadsheetml/2006/main" count="160" uniqueCount="151">
  <si>
    <t>KM 10</t>
  </si>
  <si>
    <t>KM 8</t>
  </si>
  <si>
    <t>KM 7</t>
  </si>
  <si>
    <t>KM 6</t>
  </si>
  <si>
    <t>KM 5</t>
  </si>
  <si>
    <t>KM 4</t>
  </si>
  <si>
    <t>KM 3</t>
  </si>
  <si>
    <t>KM 2</t>
  </si>
  <si>
    <t>KM 1</t>
  </si>
  <si>
    <t>Total</t>
  </si>
  <si>
    <t>Land</t>
  </si>
  <si>
    <t>Kontinent</t>
  </si>
  <si>
    <t>Afrika</t>
  </si>
  <si>
    <t>Asien</t>
  </si>
  <si>
    <t>Europe</t>
  </si>
  <si>
    <t>Continent</t>
  </si>
  <si>
    <t>Pays</t>
  </si>
  <si>
    <t>KM 16</t>
  </si>
  <si>
    <t xml:space="preserve">Australien </t>
  </si>
  <si>
    <t>Belgien</t>
  </si>
  <si>
    <t>Bulgarien</t>
  </si>
  <si>
    <t>Dänemark</t>
  </si>
  <si>
    <t>Deutschland</t>
  </si>
  <si>
    <t>Estland</t>
  </si>
  <si>
    <t>Finnland</t>
  </si>
  <si>
    <t>Frankreich</t>
  </si>
  <si>
    <t>Griechenland</t>
  </si>
  <si>
    <t>Grossbritannien</t>
  </si>
  <si>
    <t>Irland</t>
  </si>
  <si>
    <t>Italien</t>
  </si>
  <si>
    <t>Litauen</t>
  </si>
  <si>
    <t>Luxemburg</t>
  </si>
  <si>
    <t>Malta</t>
  </si>
  <si>
    <t>Niederlande</t>
  </si>
  <si>
    <t>Norwegen</t>
  </si>
  <si>
    <t>Österreich</t>
  </si>
  <si>
    <t>Polen</t>
  </si>
  <si>
    <t>Portugal</t>
  </si>
  <si>
    <t>Rumänien</t>
  </si>
  <si>
    <t>Schweden</t>
  </si>
  <si>
    <t>Slowenien</t>
  </si>
  <si>
    <t>Spanien</t>
  </si>
  <si>
    <t>Türkei</t>
  </si>
  <si>
    <t>Südafrika</t>
  </si>
  <si>
    <t>Brasilien</t>
  </si>
  <si>
    <t>Chile</t>
  </si>
  <si>
    <t>Kanada</t>
  </si>
  <si>
    <t>Arabische Emirate</t>
  </si>
  <si>
    <t>Bahrain</t>
  </si>
  <si>
    <t>Indien</t>
  </si>
  <si>
    <t>Japan</t>
  </si>
  <si>
    <t>Katar</t>
  </si>
  <si>
    <t>Korea (Süd)</t>
  </si>
  <si>
    <t>Kuwait</t>
  </si>
  <si>
    <t>Malaysia</t>
  </si>
  <si>
    <t>Oman</t>
  </si>
  <si>
    <t>Pakistan</t>
  </si>
  <si>
    <t>Saudi-Arabien</t>
  </si>
  <si>
    <t>Singapur</t>
  </si>
  <si>
    <t>Belgique</t>
  </si>
  <si>
    <t>Bulgarie</t>
  </si>
  <si>
    <t>Danemark</t>
  </si>
  <si>
    <t>Allemagne</t>
  </si>
  <si>
    <t>Estonie</t>
  </si>
  <si>
    <t>Finlande</t>
  </si>
  <si>
    <t>France</t>
  </si>
  <si>
    <t>Grande-Bretagne</t>
  </si>
  <si>
    <t>Irlande</t>
  </si>
  <si>
    <t>Italie</t>
  </si>
  <si>
    <t>Lituanie</t>
  </si>
  <si>
    <t>Luxembourg</t>
  </si>
  <si>
    <t>Malte</t>
  </si>
  <si>
    <t>Pays-Bas</t>
  </si>
  <si>
    <t>Autriche</t>
  </si>
  <si>
    <t>Pologne</t>
  </si>
  <si>
    <t>Roumanie</t>
  </si>
  <si>
    <t>Slovénie</t>
  </si>
  <si>
    <t>Espagne</t>
  </si>
  <si>
    <t>Turquie</t>
  </si>
  <si>
    <t>Afrique du Sud</t>
  </si>
  <si>
    <t>Brésil</t>
  </si>
  <si>
    <t>Chili</t>
  </si>
  <si>
    <t>Canada</t>
  </si>
  <si>
    <t>Inde</t>
  </si>
  <si>
    <t>Japon</t>
  </si>
  <si>
    <t>Qatar</t>
  </si>
  <si>
    <t>Corée (Sud)</t>
  </si>
  <si>
    <t>Malaisie</t>
  </si>
  <si>
    <t>Arabie Saoudite</t>
  </si>
  <si>
    <t>Singapour</t>
  </si>
  <si>
    <t>Australien</t>
  </si>
  <si>
    <t>Australie</t>
  </si>
  <si>
    <t>Neuseeland</t>
  </si>
  <si>
    <t>Nouvelle-Zélande</t>
  </si>
  <si>
    <t>Asie</t>
  </si>
  <si>
    <t>Emirats arabes unis</t>
  </si>
  <si>
    <t>Tschechische Rep.</t>
  </si>
  <si>
    <t>U.S.A</t>
  </si>
  <si>
    <t>Grèce</t>
  </si>
  <si>
    <t>Norvège</t>
  </si>
  <si>
    <t>Suède</t>
  </si>
  <si>
    <t>Bahreïn</t>
  </si>
  <si>
    <t>Koweït</t>
  </si>
  <si>
    <t>Tchèque, Rép.</t>
  </si>
  <si>
    <t>Indonesien</t>
  </si>
  <si>
    <t>Indonésie</t>
  </si>
  <si>
    <t>Ungarn</t>
  </si>
  <si>
    <t>Hongrie</t>
  </si>
  <si>
    <t>Europa</t>
  </si>
  <si>
    <t>Amerika</t>
  </si>
  <si>
    <t>Jordanien</t>
  </si>
  <si>
    <t>Jordanie</t>
  </si>
  <si>
    <t>Hongkong</t>
  </si>
  <si>
    <t>Lettland</t>
  </si>
  <si>
    <t>Lettonie</t>
  </si>
  <si>
    <t>Slowakei</t>
  </si>
  <si>
    <t>Slovaquie</t>
  </si>
  <si>
    <t>Macao</t>
  </si>
  <si>
    <t>Macau</t>
  </si>
  <si>
    <t>Israel</t>
  </si>
  <si>
    <t>Kroatien</t>
  </si>
  <si>
    <t>Croatie</t>
  </si>
  <si>
    <t>Afrique</t>
  </si>
  <si>
    <t>Amerique</t>
  </si>
  <si>
    <t>Island</t>
  </si>
  <si>
    <t>Islande</t>
  </si>
  <si>
    <t>Paraguay</t>
  </si>
  <si>
    <t>Zypern</t>
  </si>
  <si>
    <t>Chypre</t>
  </si>
  <si>
    <t>Thailand</t>
  </si>
  <si>
    <t>Thaïlande</t>
  </si>
  <si>
    <t>KM 13</t>
  </si>
  <si>
    <t>KM 21</t>
  </si>
  <si>
    <t>KM 12, 14, 15,</t>
  </si>
  <si>
    <t>KM 17-20, 22</t>
  </si>
  <si>
    <t>Argentinien</t>
  </si>
  <si>
    <t>Argentine</t>
  </si>
  <si>
    <t>Dominikanische Rep</t>
  </si>
  <si>
    <t>Dominicaine Rep.</t>
  </si>
  <si>
    <t>Exportations de matériel de guerre par catégorie et pays de destination (01.01. - 31.12.2018)</t>
  </si>
  <si>
    <t>Ausfuhren von Kriegsmaterial nach Kategorie pro Endempfängerstaat (01.01. - 31.12.2018)</t>
  </si>
  <si>
    <t>Cameroun</t>
  </si>
  <si>
    <t>Mexiko</t>
  </si>
  <si>
    <t>Mexique</t>
  </si>
  <si>
    <t>Serbien</t>
  </si>
  <si>
    <t>Serbie</t>
  </si>
  <si>
    <t>Seychellen</t>
  </si>
  <si>
    <t>Seychelles</t>
  </si>
  <si>
    <t>Vatikan</t>
  </si>
  <si>
    <t>Vatican</t>
  </si>
  <si>
    <t>Kamerun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</si>
</sst>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9.5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DBEE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558ED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6" fillId="0" borderId="0" xfId="0" applyFont="1"/>
    <xf numFmtId="0" fontId="0" fillId="0" borderId="0" xfId="0" applyFill="1"/>
    <xf numFmtId="0" fontId="6" fillId="0" borderId="0" xfId="0" applyFont="1" applyFill="1"/>
    <xf numFmtId="0" fontId="5" fillId="0" borderId="0" xfId="0" applyFont="1" applyFill="1"/>
    <xf numFmtId="0" fontId="4" fillId="0" borderId="1" xfId="0" applyFont="1" applyFill="1" applyBorder="1"/>
    <xf numFmtId="0" fontId="0" fillId="0" borderId="1" xfId="0" applyFill="1" applyBorder="1"/>
    <xf numFmtId="0" fontId="2" fillId="0" borderId="1" xfId="0" applyFont="1" applyFill="1" applyBorder="1"/>
    <xf numFmtId="0" fontId="2" fillId="0" borderId="2" xfId="0" applyFont="1" applyFill="1" applyBorder="1"/>
    <xf numFmtId="0" fontId="3" fillId="0" borderId="1" xfId="0" applyFont="1" applyFill="1" applyBorder="1"/>
    <xf numFmtId="0" fontId="4" fillId="0" borderId="3" xfId="0" applyFont="1" applyFill="1" applyBorder="1"/>
    <xf numFmtId="0" fontId="7" fillId="0" borderId="0" xfId="0" applyFont="1" applyFill="1"/>
    <xf numFmtId="0" fontId="3" fillId="0" borderId="0" xfId="0" applyFont="1"/>
    <xf numFmtId="0" fontId="4" fillId="0" borderId="2" xfId="0" applyFont="1" applyFill="1" applyBorder="1"/>
    <xf numFmtId="0" fontId="3" fillId="0" borderId="0" xfId="0" applyFont="1" applyFill="1"/>
    <xf numFmtId="0" fontId="4" fillId="2" borderId="9" xfId="0" applyFont="1" applyFill="1" applyBorder="1"/>
    <xf numFmtId="3" fontId="3" fillId="2" borderId="10" xfId="0" applyNumberFormat="1" applyFont="1" applyFill="1" applyBorder="1"/>
    <xf numFmtId="3" fontId="4" fillId="2" borderId="11" xfId="0" applyNumberFormat="1" applyFont="1" applyFill="1" applyBorder="1" applyAlignment="1">
      <alignment horizontal="right"/>
    </xf>
    <xf numFmtId="3" fontId="4" fillId="2" borderId="12" xfId="0" applyNumberFormat="1" applyFont="1" applyFill="1" applyBorder="1" applyAlignment="1">
      <alignment horizontal="right"/>
    </xf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7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21" xfId="0" applyFont="1" applyBorder="1"/>
    <xf numFmtId="0" fontId="3" fillId="0" borderId="5" xfId="0" applyFont="1" applyBorder="1"/>
    <xf numFmtId="0" fontId="3" fillId="0" borderId="28" xfId="0" applyFont="1" applyBorder="1"/>
    <xf numFmtId="0" fontId="3" fillId="0" borderId="29" xfId="0" applyFont="1" applyBorder="1"/>
    <xf numFmtId="0" fontId="4" fillId="0" borderId="3" xfId="0" applyFont="1" applyBorder="1"/>
    <xf numFmtId="0" fontId="4" fillId="0" borderId="1" xfId="0" applyFont="1" applyBorder="1"/>
    <xf numFmtId="0" fontId="0" fillId="0" borderId="1" xfId="0" applyBorder="1"/>
    <xf numFmtId="0" fontId="2" fillId="0" borderId="1" xfId="0" applyFont="1" applyBorder="1"/>
    <xf numFmtId="0" fontId="3" fillId="0" borderId="21" xfId="0" applyFont="1" applyFill="1" applyBorder="1"/>
    <xf numFmtId="0" fontId="3" fillId="0" borderId="5" xfId="0" applyFont="1" applyFill="1" applyBorder="1"/>
    <xf numFmtId="0" fontId="8" fillId="0" borderId="21" xfId="0" applyFont="1" applyBorder="1"/>
    <xf numFmtId="0" fontId="2" fillId="0" borderId="0" xfId="0" applyFont="1" applyFill="1" applyBorder="1"/>
    <xf numFmtId="0" fontId="0" fillId="0" borderId="2" xfId="0" applyFill="1" applyBorder="1"/>
    <xf numFmtId="3" fontId="10" fillId="2" borderId="11" xfId="0" applyNumberFormat="1" applyFont="1" applyFill="1" applyBorder="1" applyAlignment="1">
      <alignment horizontal="right"/>
    </xf>
    <xf numFmtId="3" fontId="10" fillId="3" borderId="19" xfId="0" applyNumberFormat="1" applyFont="1" applyFill="1" applyBorder="1" applyAlignment="1"/>
    <xf numFmtId="3" fontId="10" fillId="3" borderId="6" xfId="0" applyNumberFormat="1" applyFont="1" applyFill="1" applyBorder="1" applyAlignment="1"/>
    <xf numFmtId="3" fontId="10" fillId="3" borderId="33" xfId="0" applyNumberFormat="1" applyFont="1" applyFill="1" applyBorder="1" applyAlignment="1"/>
    <xf numFmtId="0" fontId="11" fillId="4" borderId="37" xfId="0" applyFont="1" applyFill="1" applyBorder="1" applyAlignment="1">
      <alignment vertical="center"/>
    </xf>
    <xf numFmtId="0" fontId="11" fillId="4" borderId="38" xfId="0" applyFont="1" applyFill="1" applyBorder="1" applyAlignment="1">
      <alignment vertical="center"/>
    </xf>
    <xf numFmtId="0" fontId="12" fillId="4" borderId="39" xfId="0" applyFont="1" applyFill="1" applyBorder="1" applyAlignment="1">
      <alignment vertical="center"/>
    </xf>
    <xf numFmtId="0" fontId="11" fillId="4" borderId="37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vertical="center"/>
    </xf>
    <xf numFmtId="0" fontId="11" fillId="4" borderId="40" xfId="0" applyFont="1" applyFill="1" applyBorder="1" applyAlignment="1">
      <alignment vertical="center"/>
    </xf>
    <xf numFmtId="0" fontId="12" fillId="4" borderId="41" xfId="0" applyFont="1" applyFill="1" applyBorder="1" applyAlignment="1">
      <alignment vertical="center"/>
    </xf>
    <xf numFmtId="0" fontId="12" fillId="4" borderId="18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/>
    </xf>
    <xf numFmtId="3" fontId="10" fillId="3" borderId="4" xfId="0" applyNumberFormat="1" applyFont="1" applyFill="1" applyBorder="1" applyAlignment="1"/>
    <xf numFmtId="3" fontId="10" fillId="3" borderId="30" xfId="0" applyNumberFormat="1" applyFont="1" applyFill="1" applyBorder="1" applyAlignment="1"/>
    <xf numFmtId="3" fontId="10" fillId="3" borderId="8" xfId="0" applyNumberFormat="1" applyFont="1" applyFill="1" applyBorder="1" applyAlignment="1"/>
    <xf numFmtId="3" fontId="4" fillId="2" borderId="43" xfId="0" applyNumberFormat="1" applyFont="1" applyFill="1" applyBorder="1"/>
    <xf numFmtId="3" fontId="0" fillId="0" borderId="0" xfId="0" applyNumberFormat="1" applyFill="1"/>
    <xf numFmtId="3" fontId="8" fillId="0" borderId="19" xfId="0" applyNumberFormat="1" applyFont="1" applyFill="1" applyBorder="1" applyAlignment="1"/>
    <xf numFmtId="3" fontId="8" fillId="0" borderId="14" xfId="0" applyNumberFormat="1" applyFont="1" applyFill="1" applyBorder="1" applyAlignment="1"/>
    <xf numFmtId="3" fontId="8" fillId="0" borderId="13" xfId="0" applyNumberFormat="1" applyFont="1" applyFill="1" applyBorder="1" applyAlignment="1"/>
    <xf numFmtId="3" fontId="10" fillId="0" borderId="20" xfId="0" applyNumberFormat="1" applyFont="1" applyFill="1" applyBorder="1" applyAlignment="1">
      <alignment horizontal="center"/>
    </xf>
    <xf numFmtId="3" fontId="8" fillId="0" borderId="21" xfId="0" applyNumberFormat="1" applyFont="1" applyFill="1" applyBorder="1" applyAlignment="1"/>
    <xf numFmtId="3" fontId="10" fillId="0" borderId="22" xfId="0" applyNumberFormat="1" applyFont="1" applyFill="1" applyBorder="1" applyAlignment="1">
      <alignment horizontal="center"/>
    </xf>
    <xf numFmtId="3" fontId="8" fillId="0" borderId="6" xfId="0" applyNumberFormat="1" applyFont="1" applyFill="1" applyBorder="1" applyAlignment="1"/>
    <xf numFmtId="3" fontId="8" fillId="0" borderId="15" xfId="0" applyNumberFormat="1" applyFont="1" applyFill="1" applyBorder="1" applyAlignment="1"/>
    <xf numFmtId="3" fontId="10" fillId="0" borderId="23" xfId="0" applyNumberFormat="1" applyFont="1" applyFill="1" applyBorder="1" applyAlignment="1">
      <alignment horizontal="center"/>
    </xf>
    <xf numFmtId="3" fontId="8" fillId="0" borderId="7" xfId="0" applyNumberFormat="1" applyFont="1" applyFill="1" applyBorder="1" applyAlignment="1"/>
    <xf numFmtId="3" fontId="8" fillId="0" borderId="6" xfId="0" applyNumberFormat="1" applyFont="1" applyFill="1" applyBorder="1" applyAlignment="1">
      <alignment horizontal="right"/>
    </xf>
    <xf numFmtId="3" fontId="8" fillId="0" borderId="8" xfId="0" applyNumberFormat="1" applyFont="1" applyFill="1" applyBorder="1" applyAlignment="1"/>
    <xf numFmtId="3" fontId="8" fillId="0" borderId="34" xfId="0" applyNumberFormat="1" applyFont="1" applyFill="1" applyBorder="1" applyAlignment="1"/>
    <xf numFmtId="3" fontId="8" fillId="0" borderId="24" xfId="0" applyNumberFormat="1" applyFont="1" applyFill="1" applyBorder="1" applyAlignment="1"/>
    <xf numFmtId="3" fontId="10" fillId="0" borderId="25" xfId="0" applyNumberFormat="1" applyFont="1" applyFill="1" applyBorder="1" applyAlignment="1">
      <alignment horizontal="center"/>
    </xf>
    <xf numFmtId="3" fontId="8" fillId="0" borderId="28" xfId="0" applyNumberFormat="1" applyFont="1" applyFill="1" applyBorder="1" applyAlignment="1"/>
    <xf numFmtId="3" fontId="10" fillId="0" borderId="42" xfId="0" applyNumberFormat="1" applyFont="1" applyFill="1" applyBorder="1" applyAlignment="1">
      <alignment horizontal="center"/>
    </xf>
    <xf numFmtId="3" fontId="10" fillId="2" borderId="18" xfId="0" applyNumberFormat="1" applyFont="1" applyFill="1" applyBorder="1" applyAlignment="1"/>
    <xf numFmtId="3" fontId="8" fillId="0" borderId="0" xfId="0" applyNumberFormat="1" applyFont="1" applyFill="1" applyAlignment="1"/>
    <xf numFmtId="3" fontId="10" fillId="0" borderId="0" xfId="0" applyNumberFormat="1" applyFont="1" applyFill="1" applyAlignment="1">
      <alignment horizontal="right"/>
    </xf>
    <xf numFmtId="3" fontId="10" fillId="0" borderId="0" xfId="0" applyNumberFormat="1" applyFont="1" applyFill="1" applyBorder="1" applyAlignment="1"/>
    <xf numFmtId="3" fontId="8" fillId="0" borderId="19" xfId="0" applyNumberFormat="1" applyFont="1" applyFill="1" applyBorder="1" applyAlignment="1">
      <alignment horizontal="right"/>
    </xf>
    <xf numFmtId="3" fontId="8" fillId="0" borderId="26" xfId="0" applyNumberFormat="1" applyFont="1" applyFill="1" applyBorder="1" applyAlignment="1">
      <alignment horizontal="right"/>
    </xf>
    <xf numFmtId="3" fontId="8" fillId="0" borderId="16" xfId="0" applyNumberFormat="1" applyFont="1" applyFill="1" applyBorder="1" applyAlignment="1"/>
    <xf numFmtId="3" fontId="10" fillId="0" borderId="27" xfId="0" applyNumberFormat="1" applyFont="1" applyFill="1" applyBorder="1" applyAlignment="1">
      <alignment horizontal="center"/>
    </xf>
    <xf numFmtId="3" fontId="10" fillId="2" borderId="43" xfId="0" applyNumberFormat="1" applyFont="1" applyFill="1" applyBorder="1" applyAlignment="1">
      <alignment horizontal="right"/>
    </xf>
    <xf numFmtId="3" fontId="8" fillId="0" borderId="0" xfId="0" applyNumberFormat="1" applyFont="1" applyFill="1" applyAlignment="1">
      <alignment horizontal="right"/>
    </xf>
    <xf numFmtId="3" fontId="10" fillId="0" borderId="0" xfId="0" applyNumberFormat="1" applyFont="1" applyFill="1"/>
    <xf numFmtId="3" fontId="8" fillId="0" borderId="0" xfId="0" applyNumberFormat="1" applyFont="1" applyFill="1"/>
    <xf numFmtId="3" fontId="8" fillId="0" borderId="6" xfId="0" applyNumberFormat="1" applyFont="1" applyFill="1" applyBorder="1"/>
    <xf numFmtId="3" fontId="10" fillId="2" borderId="18" xfId="0" applyNumberFormat="1" applyFont="1" applyFill="1" applyBorder="1" applyAlignment="1">
      <alignment horizontal="right"/>
    </xf>
    <xf numFmtId="3" fontId="8" fillId="0" borderId="0" xfId="0" applyNumberFormat="1" applyFont="1" applyFill="1" applyBorder="1" applyAlignment="1">
      <alignment horizontal="right"/>
    </xf>
    <xf numFmtId="3" fontId="8" fillId="0" borderId="30" xfId="0" applyNumberFormat="1" applyFont="1" applyFill="1" applyBorder="1" applyAlignment="1">
      <alignment horizontal="right"/>
    </xf>
    <xf numFmtId="3" fontId="8" fillId="0" borderId="31" xfId="0" applyNumberFormat="1" applyFont="1" applyFill="1" applyBorder="1" applyAlignment="1">
      <alignment horizontal="center"/>
    </xf>
    <xf numFmtId="3" fontId="10" fillId="0" borderId="32" xfId="0" applyNumberFormat="1" applyFont="1" applyFill="1" applyBorder="1" applyAlignment="1">
      <alignment horizontal="center"/>
    </xf>
    <xf numFmtId="3" fontId="8" fillId="0" borderId="16" xfId="0" applyNumberFormat="1" applyFont="1" applyFill="1" applyBorder="1" applyAlignment="1">
      <alignment horizontal="center"/>
    </xf>
    <xf numFmtId="3" fontId="8" fillId="0" borderId="4" xfId="0" applyNumberFormat="1" applyFont="1" applyFill="1" applyBorder="1" applyAlignment="1">
      <alignment horizontal="right"/>
    </xf>
    <xf numFmtId="3" fontId="9" fillId="0" borderId="0" xfId="0" applyNumberFormat="1" applyFont="1" applyFill="1" applyAlignment="1"/>
    <xf numFmtId="3" fontId="8" fillId="0" borderId="26" xfId="0" applyNumberFormat="1" applyFont="1" applyFill="1" applyBorder="1" applyAlignment="1"/>
    <xf numFmtId="0" fontId="3" fillId="0" borderId="39" xfId="0" applyFont="1" applyFill="1" applyBorder="1"/>
    <xf numFmtId="0" fontId="4" fillId="0" borderId="0" xfId="0" applyFont="1" applyFill="1" applyBorder="1"/>
    <xf numFmtId="0" fontId="3" fillId="0" borderId="0" xfId="0" applyFont="1" applyFill="1" applyBorder="1"/>
    <xf numFmtId="3" fontId="10" fillId="0" borderId="0" xfId="0" applyNumberFormat="1" applyFont="1" applyFill="1" applyBorder="1" applyAlignment="1">
      <alignment horizontal="right"/>
    </xf>
    <xf numFmtId="0" fontId="3" fillId="0" borderId="44" xfId="0" applyFont="1" applyFill="1" applyBorder="1"/>
    <xf numFmtId="0" fontId="3" fillId="0" borderId="35" xfId="0" applyFont="1" applyBorder="1"/>
    <xf numFmtId="3" fontId="8" fillId="0" borderId="36" xfId="0" applyNumberFormat="1" applyFont="1" applyFill="1" applyBorder="1" applyAlignment="1">
      <alignment horizontal="right"/>
    </xf>
    <xf numFmtId="3" fontId="8" fillId="0" borderId="36" xfId="0" applyNumberFormat="1" applyFont="1" applyFill="1" applyBorder="1" applyAlignment="1" applyProtection="1">
      <alignment horizontal="right"/>
      <protection locked="0"/>
    </xf>
    <xf numFmtId="3" fontId="8" fillId="0" borderId="19" xfId="0" applyNumberFormat="1" applyFont="1" applyFill="1" applyBorder="1" applyAlignment="1" applyProtection="1">
      <alignment horizontal="right"/>
      <protection locked="0"/>
    </xf>
    <xf numFmtId="0" fontId="13" fillId="0" borderId="21" xfId="0" applyFont="1" applyBorder="1"/>
    <xf numFmtId="0" fontId="13" fillId="0" borderId="5" xfId="0" applyFont="1" applyBorder="1"/>
    <xf numFmtId="0" fontId="4" fillId="0" borderId="45" xfId="0" applyFont="1" applyFill="1" applyBorder="1"/>
    <xf numFmtId="3" fontId="8" fillId="0" borderId="6" xfId="0" applyNumberFormat="1" applyFont="1" applyFill="1" applyBorder="1" applyAlignment="1" applyProtection="1">
      <alignment horizontal="right"/>
      <protection locked="0"/>
    </xf>
    <xf numFmtId="0" fontId="4" fillId="0" borderId="40" xfId="0" applyFont="1" applyFill="1" applyBorder="1"/>
    <xf numFmtId="0" fontId="14" fillId="0" borderId="0" xfId="0" applyFont="1" applyFill="1" applyAlignment="1">
      <alignment horizontal="center"/>
    </xf>
    <xf numFmtId="0" fontId="1" fillId="0" borderId="13" xfId="0" applyFont="1" applyBorder="1"/>
    <xf numFmtId="0" fontId="3" fillId="0" borderId="24" xfId="0" applyFont="1" applyBorder="1"/>
    <xf numFmtId="0" fontId="3" fillId="0" borderId="34" xfId="0" applyFont="1" applyBorder="1"/>
    <xf numFmtId="0" fontId="1" fillId="0" borderId="16" xfId="0" applyFont="1" applyBorder="1"/>
    <xf numFmtId="0" fontId="1" fillId="0" borderId="17" xfId="0" applyFont="1" applyBorder="1"/>
    <xf numFmtId="0" fontId="0" fillId="0" borderId="46" xfId="0" applyBorder="1"/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73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</xdr:col>
      <xdr:colOff>1314450</xdr:colOff>
      <xdr:row>2</xdr:row>
      <xdr:rowOff>180975</xdr:rowOff>
    </xdr:to>
    <xdr:pic>
      <xdr:nvPicPr>
        <xdr:cNvPr id="420227" name="Picture 9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2009775" cy="5238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19050</xdr:colOff>
      <xdr:row>0</xdr:row>
      <xdr:rowOff>0</xdr:rowOff>
    </xdr:from>
    <xdr:to>
      <xdr:col>15</xdr:col>
      <xdr:colOff>238813</xdr:colOff>
      <xdr:row>3</xdr:row>
      <xdr:rowOff>28575</xdr:rowOff>
    </xdr:to>
    <xdr:sp macro="" textlink="">
      <xdr:nvSpPr>
        <xdr:cNvPr id="1936" name="Text Box 912"/>
        <xdr:cNvSpPr txBox="1">
          <a:spLocks noChangeArrowheads="1"/>
        </xdr:cNvSpPr>
      </xdr:nvSpPr>
      <xdr:spPr bwMode="auto">
        <a:xfrm>
          <a:off x="9639300" y="0"/>
          <a:ext cx="3333750" cy="6858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18000" tIns="10800" rIns="18000" bIns="10800" anchor="t" upright="1"/>
        <a:lstStyle/>
        <a:p>
          <a:pPr algn="l" rtl="0">
            <a:defRPr sz="1000"/>
          </a:pPr>
          <a:r>
            <a:rPr lang="de-CH" sz="800" b="1" i="0" strike="noStrike">
              <a:solidFill>
                <a:srgbClr val="000000"/>
              </a:solidFill>
              <a:latin typeface="Arial"/>
              <a:cs typeface="Arial"/>
            </a:rPr>
            <a:t>Département fédéral de l'économie,</a:t>
          </a:r>
          <a:br>
            <a:rPr lang="de-CH" sz="800" b="1" i="0" strike="noStrike">
              <a:solidFill>
                <a:srgbClr val="000000"/>
              </a:solidFill>
              <a:latin typeface="Arial"/>
              <a:cs typeface="Arial"/>
            </a:rPr>
          </a:br>
          <a:r>
            <a:rPr lang="de-CH" sz="800" b="1" i="0" strike="noStrike">
              <a:solidFill>
                <a:srgbClr val="000000"/>
              </a:solidFill>
              <a:latin typeface="Arial"/>
              <a:cs typeface="Arial"/>
            </a:rPr>
            <a:t>de la formation et de la recherche DEFR</a:t>
          </a:r>
        </a:p>
        <a:p>
          <a:pPr algn="l" rtl="0">
            <a:defRPr sz="1000"/>
          </a:pPr>
          <a:r>
            <a:rPr lang="de-CH" sz="800" b="1" i="0" strike="noStrike">
              <a:solidFill>
                <a:srgbClr val="000000"/>
              </a:solidFill>
              <a:latin typeface="Arial"/>
              <a:cs typeface="Arial"/>
            </a:rPr>
            <a:t>Secrétariat d'Etat à l'économie SECO</a:t>
          </a:r>
        </a:p>
        <a:p>
          <a:pPr algn="l" rtl="0">
            <a:defRPr sz="1000"/>
          </a:pPr>
          <a:r>
            <a:rPr lang="de-CH" sz="800" b="0" i="0" strike="noStrike">
              <a:solidFill>
                <a:srgbClr val="000000"/>
              </a:solidFill>
              <a:latin typeface="Arial"/>
              <a:cs typeface="Arial"/>
            </a:rPr>
            <a:t>Communication</a:t>
          </a:r>
          <a:endParaRPr lang="de-CH" sz="8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2:Q162"/>
  <sheetViews>
    <sheetView tabSelected="1" zoomScale="90" zoomScaleNormal="90" zoomScaleSheetLayoutView="100" workbookViewId="0">
      <selection activeCell="R1" sqref="R1:Y1048576"/>
    </sheetView>
  </sheetViews>
  <sheetFormatPr baseColWidth="10" defaultRowHeight="12.75" x14ac:dyDescent="0.2"/>
  <cols>
    <col min="1" max="1" width="12" customWidth="1"/>
    <col min="2" max="2" width="18.5703125" style="12" customWidth="1"/>
    <col min="3" max="3" width="18.42578125" style="12" customWidth="1"/>
    <col min="4" max="4" width="12.7109375" style="2" customWidth="1"/>
    <col min="5" max="14" width="11.7109375" style="2" customWidth="1"/>
    <col min="15" max="16" width="11.7109375" customWidth="1"/>
    <col min="17" max="17" width="19.5703125" customWidth="1"/>
  </cols>
  <sheetData>
    <row r="2" spans="1:17" ht="16.899999999999999" customHeight="1" x14ac:dyDescent="0.2"/>
    <row r="3" spans="1:17" ht="22.9" customHeight="1" x14ac:dyDescent="0.2"/>
    <row r="4" spans="1:17" ht="4.5" customHeight="1" x14ac:dyDescent="0.2"/>
    <row r="5" spans="1:17" ht="23.1" customHeight="1" x14ac:dyDescent="0.35">
      <c r="A5" s="11" t="s">
        <v>140</v>
      </c>
      <c r="E5" s="4"/>
      <c r="F5" s="4"/>
      <c r="G5" s="4"/>
      <c r="H5" s="3"/>
      <c r="I5" s="3"/>
      <c r="J5" s="3"/>
      <c r="K5" s="3"/>
      <c r="L5" s="3"/>
      <c r="M5" s="3"/>
      <c r="N5" s="3"/>
      <c r="O5" s="1"/>
      <c r="P5" s="1"/>
    </row>
    <row r="6" spans="1:17" ht="23.1" customHeight="1" x14ac:dyDescent="0.35">
      <c r="A6" s="11" t="s">
        <v>139</v>
      </c>
      <c r="E6" s="4"/>
      <c r="F6" s="4"/>
      <c r="G6" s="4"/>
      <c r="H6" s="3"/>
      <c r="I6" s="3"/>
      <c r="J6" s="3"/>
      <c r="K6" s="3"/>
      <c r="L6" s="3"/>
      <c r="M6" s="3"/>
      <c r="N6" s="3"/>
      <c r="O6" s="1"/>
      <c r="P6" s="1"/>
    </row>
    <row r="7" spans="1:17" ht="23.1" customHeight="1" thickBot="1" x14ac:dyDescent="0.4">
      <c r="A7" s="11"/>
      <c r="E7" s="4"/>
      <c r="F7" s="4"/>
      <c r="G7" s="4"/>
      <c r="H7" s="3"/>
      <c r="I7" s="3"/>
      <c r="J7" s="3"/>
      <c r="K7" s="3"/>
      <c r="L7" s="3"/>
      <c r="M7" s="3"/>
      <c r="N7" s="3"/>
      <c r="O7" s="1"/>
      <c r="P7" s="1"/>
    </row>
    <row r="8" spans="1:17" ht="16.899999999999999" customHeight="1" x14ac:dyDescent="0.2">
      <c r="A8" s="42" t="s">
        <v>11</v>
      </c>
      <c r="B8" s="43" t="s">
        <v>10</v>
      </c>
      <c r="C8" s="44"/>
      <c r="D8" s="45" t="s">
        <v>9</v>
      </c>
      <c r="E8" s="45" t="s">
        <v>8</v>
      </c>
      <c r="F8" s="45" t="s">
        <v>7</v>
      </c>
      <c r="G8" s="45" t="s">
        <v>6</v>
      </c>
      <c r="H8" s="45" t="s">
        <v>5</v>
      </c>
      <c r="I8" s="45" t="s">
        <v>4</v>
      </c>
      <c r="J8" s="45" t="s">
        <v>3</v>
      </c>
      <c r="K8" s="45" t="s">
        <v>2</v>
      </c>
      <c r="L8" s="45" t="s">
        <v>1</v>
      </c>
      <c r="M8" s="45" t="s">
        <v>0</v>
      </c>
      <c r="N8" s="45" t="s">
        <v>131</v>
      </c>
      <c r="O8" s="45" t="s">
        <v>17</v>
      </c>
      <c r="P8" s="45" t="s">
        <v>132</v>
      </c>
      <c r="Q8" s="45" t="s">
        <v>133</v>
      </c>
    </row>
    <row r="9" spans="1:17" ht="15" customHeight="1" thickBot="1" x14ac:dyDescent="0.25">
      <c r="A9" s="46" t="s">
        <v>15</v>
      </c>
      <c r="B9" s="47" t="s">
        <v>16</v>
      </c>
      <c r="C9" s="48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50" t="s">
        <v>134</v>
      </c>
    </row>
    <row r="10" spans="1:17" ht="9.75" customHeight="1" thickBot="1" x14ac:dyDescent="0.25"/>
    <row r="11" spans="1:17" s="12" customFormat="1" ht="17.25" customHeight="1" thickBot="1" x14ac:dyDescent="0.25">
      <c r="A11" s="15" t="s">
        <v>9</v>
      </c>
      <c r="B11" s="16"/>
      <c r="C11" s="16"/>
      <c r="D11" s="17">
        <f>SUM(D46+D51+D63+D83+D87)</f>
        <v>509880699</v>
      </c>
      <c r="E11" s="38">
        <f t="shared" ref="E11:P11" si="0">SUM(E13:E86)</f>
        <v>28170342</v>
      </c>
      <c r="F11" s="38">
        <f t="shared" si="0"/>
        <v>51595645</v>
      </c>
      <c r="G11" s="38">
        <f t="shared" si="0"/>
        <v>173140197</v>
      </c>
      <c r="H11" s="38">
        <f t="shared" si="0"/>
        <v>22730654</v>
      </c>
      <c r="I11" s="38">
        <f t="shared" si="0"/>
        <v>34915116</v>
      </c>
      <c r="J11" s="38">
        <f t="shared" si="0"/>
        <v>125140709</v>
      </c>
      <c r="K11" s="38">
        <f t="shared" si="0"/>
        <v>17687</v>
      </c>
      <c r="L11" s="38">
        <f t="shared" si="0"/>
        <v>18348191</v>
      </c>
      <c r="M11" s="38">
        <f t="shared" si="0"/>
        <v>53408467</v>
      </c>
      <c r="N11" s="38">
        <f t="shared" si="0"/>
        <v>1947014</v>
      </c>
      <c r="O11" s="38">
        <f t="shared" si="0"/>
        <v>461197</v>
      </c>
      <c r="P11" s="38">
        <f t="shared" si="0"/>
        <v>5480</v>
      </c>
      <c r="Q11" s="18"/>
    </row>
    <row r="12" spans="1:17" ht="17.25" customHeight="1" thickBot="1" x14ac:dyDescent="0.25">
      <c r="F12" s="109"/>
      <c r="G12" s="109"/>
      <c r="H12" s="109"/>
    </row>
    <row r="13" spans="1:17" ht="17.25" customHeight="1" x14ac:dyDescent="0.2">
      <c r="A13" s="29" t="s">
        <v>108</v>
      </c>
      <c r="B13" s="19" t="s">
        <v>19</v>
      </c>
      <c r="C13" s="20" t="s">
        <v>59</v>
      </c>
      <c r="D13" s="52">
        <f t="shared" ref="D13:D45" si="1">SUM(E13:P13)</f>
        <v>7835450</v>
      </c>
      <c r="E13" s="56">
        <v>496575</v>
      </c>
      <c r="F13" s="56">
        <v>1204</v>
      </c>
      <c r="G13" s="56">
        <v>3410807</v>
      </c>
      <c r="H13" s="56">
        <v>1359</v>
      </c>
      <c r="I13" s="56"/>
      <c r="J13" s="56">
        <v>604178</v>
      </c>
      <c r="K13" s="56">
        <v>8588</v>
      </c>
      <c r="L13" s="57">
        <v>1365725</v>
      </c>
      <c r="M13" s="56"/>
      <c r="N13" s="56">
        <v>1947014</v>
      </c>
      <c r="O13" s="58"/>
      <c r="P13" s="58"/>
      <c r="Q13" s="59"/>
    </row>
    <row r="14" spans="1:17" ht="17.25" customHeight="1" x14ac:dyDescent="0.2">
      <c r="A14" s="30" t="s">
        <v>14</v>
      </c>
      <c r="B14" s="21" t="s">
        <v>20</v>
      </c>
      <c r="C14" s="22" t="s">
        <v>60</v>
      </c>
      <c r="D14" s="40">
        <f t="shared" si="1"/>
        <v>4874871</v>
      </c>
      <c r="E14" s="62">
        <v>4841</v>
      </c>
      <c r="F14" s="62"/>
      <c r="G14" s="62">
        <v>3629</v>
      </c>
      <c r="H14" s="62"/>
      <c r="I14" s="62"/>
      <c r="J14" s="62"/>
      <c r="K14" s="62"/>
      <c r="L14" s="62">
        <v>4866401</v>
      </c>
      <c r="M14" s="62"/>
      <c r="N14" s="62"/>
      <c r="O14" s="63"/>
      <c r="P14" s="63"/>
      <c r="Q14" s="64"/>
    </row>
    <row r="15" spans="1:17" ht="17.25" customHeight="1" x14ac:dyDescent="0.2">
      <c r="A15" s="32"/>
      <c r="B15" s="21" t="s">
        <v>21</v>
      </c>
      <c r="C15" s="22" t="s">
        <v>61</v>
      </c>
      <c r="D15" s="40">
        <f t="shared" si="1"/>
        <v>73495484</v>
      </c>
      <c r="E15" s="62">
        <v>38823</v>
      </c>
      <c r="F15" s="62">
        <v>1054612</v>
      </c>
      <c r="G15" s="62">
        <v>13321518</v>
      </c>
      <c r="H15" s="62"/>
      <c r="I15" s="62"/>
      <c r="J15" s="62">
        <v>59035066</v>
      </c>
      <c r="K15" s="62"/>
      <c r="L15" s="65">
        <v>45465</v>
      </c>
      <c r="M15" s="62"/>
      <c r="N15" s="62"/>
      <c r="O15" s="63"/>
      <c r="P15" s="63"/>
      <c r="Q15" s="64"/>
    </row>
    <row r="16" spans="1:17" ht="17.25" customHeight="1" x14ac:dyDescent="0.2">
      <c r="A16" s="32"/>
      <c r="B16" s="21" t="s">
        <v>22</v>
      </c>
      <c r="C16" s="22" t="s">
        <v>62</v>
      </c>
      <c r="D16" s="40">
        <f t="shared" si="1"/>
        <v>118048977</v>
      </c>
      <c r="E16" s="62">
        <v>8554638</v>
      </c>
      <c r="F16" s="62">
        <v>13634130</v>
      </c>
      <c r="G16" s="62">
        <v>67997491</v>
      </c>
      <c r="H16" s="62">
        <v>262599</v>
      </c>
      <c r="I16" s="62">
        <v>4264898</v>
      </c>
      <c r="J16" s="62">
        <v>18729832</v>
      </c>
      <c r="K16" s="62">
        <v>1492</v>
      </c>
      <c r="L16" s="65">
        <v>4209472</v>
      </c>
      <c r="M16" s="62">
        <v>93359</v>
      </c>
      <c r="N16" s="62"/>
      <c r="O16" s="63">
        <v>301066</v>
      </c>
      <c r="P16" s="63"/>
      <c r="Q16" s="64"/>
    </row>
    <row r="17" spans="1:17" ht="17.25" customHeight="1" x14ac:dyDescent="0.2">
      <c r="A17" s="32"/>
      <c r="B17" s="21" t="s">
        <v>23</v>
      </c>
      <c r="C17" s="22" t="s">
        <v>63</v>
      </c>
      <c r="D17" s="40">
        <f t="shared" si="1"/>
        <v>9392933</v>
      </c>
      <c r="E17" s="62">
        <v>42165</v>
      </c>
      <c r="F17" s="62"/>
      <c r="G17" s="62">
        <v>9350678</v>
      </c>
      <c r="H17" s="62"/>
      <c r="I17" s="62"/>
      <c r="J17" s="62"/>
      <c r="K17" s="62"/>
      <c r="L17" s="62">
        <v>90</v>
      </c>
      <c r="M17" s="62"/>
      <c r="N17" s="62"/>
      <c r="O17" s="63"/>
      <c r="P17" s="63"/>
      <c r="Q17" s="64"/>
    </row>
    <row r="18" spans="1:17" ht="17.25" customHeight="1" x14ac:dyDescent="0.2">
      <c r="A18" s="32"/>
      <c r="B18" s="21" t="s">
        <v>24</v>
      </c>
      <c r="C18" s="22" t="s">
        <v>64</v>
      </c>
      <c r="D18" s="40">
        <f t="shared" si="1"/>
        <v>8569626</v>
      </c>
      <c r="E18" s="62">
        <v>165979</v>
      </c>
      <c r="F18" s="62">
        <v>7560</v>
      </c>
      <c r="G18" s="62">
        <v>355</v>
      </c>
      <c r="H18" s="62"/>
      <c r="I18" s="62"/>
      <c r="J18" s="62">
        <v>795068</v>
      </c>
      <c r="K18" s="62"/>
      <c r="L18" s="65"/>
      <c r="M18" s="62">
        <v>7600664</v>
      </c>
      <c r="N18" s="62"/>
      <c r="O18" s="63"/>
      <c r="P18" s="63"/>
      <c r="Q18" s="64"/>
    </row>
    <row r="19" spans="1:17" ht="17.25" customHeight="1" x14ac:dyDescent="0.2">
      <c r="A19" s="32"/>
      <c r="B19" s="21" t="s">
        <v>25</v>
      </c>
      <c r="C19" s="22" t="s">
        <v>65</v>
      </c>
      <c r="D19" s="40">
        <f t="shared" si="1"/>
        <v>17644749</v>
      </c>
      <c r="E19" s="62">
        <v>1263143</v>
      </c>
      <c r="F19" s="62">
        <v>8299</v>
      </c>
      <c r="G19" s="62">
        <v>8666245</v>
      </c>
      <c r="H19" s="62">
        <v>2767998</v>
      </c>
      <c r="I19" s="62"/>
      <c r="J19" s="62"/>
      <c r="K19" s="62"/>
      <c r="L19" s="65">
        <v>987067</v>
      </c>
      <c r="M19" s="62">
        <v>3859237</v>
      </c>
      <c r="N19" s="62"/>
      <c r="O19" s="63">
        <v>92760</v>
      </c>
      <c r="P19" s="63"/>
      <c r="Q19" s="64"/>
    </row>
    <row r="20" spans="1:17" ht="17.25" customHeight="1" x14ac:dyDescent="0.2">
      <c r="A20" s="32"/>
      <c r="B20" s="21" t="s">
        <v>26</v>
      </c>
      <c r="C20" s="22" t="s">
        <v>98</v>
      </c>
      <c r="D20" s="40">
        <f t="shared" si="1"/>
        <v>27891</v>
      </c>
      <c r="E20" s="62">
        <v>26897</v>
      </c>
      <c r="F20" s="62"/>
      <c r="G20" s="62"/>
      <c r="H20" s="62"/>
      <c r="I20" s="62">
        <v>994</v>
      </c>
      <c r="J20" s="62"/>
      <c r="K20" s="62"/>
      <c r="L20" s="62"/>
      <c r="M20" s="62"/>
      <c r="N20" s="62"/>
      <c r="O20" s="63"/>
      <c r="P20" s="63"/>
      <c r="Q20" s="64"/>
    </row>
    <row r="21" spans="1:17" ht="17.25" customHeight="1" x14ac:dyDescent="0.2">
      <c r="A21" s="32"/>
      <c r="B21" s="21" t="s">
        <v>27</v>
      </c>
      <c r="C21" s="22" t="s">
        <v>66</v>
      </c>
      <c r="D21" s="40">
        <f t="shared" si="1"/>
        <v>6450404</v>
      </c>
      <c r="E21" s="62">
        <v>619525</v>
      </c>
      <c r="F21" s="62">
        <v>12632</v>
      </c>
      <c r="G21" s="62">
        <v>1325564</v>
      </c>
      <c r="H21" s="62">
        <v>190660</v>
      </c>
      <c r="I21" s="62">
        <v>1604654</v>
      </c>
      <c r="J21" s="62"/>
      <c r="K21" s="62">
        <v>4419</v>
      </c>
      <c r="L21" s="62">
        <v>1591648</v>
      </c>
      <c r="M21" s="62">
        <v>1101302</v>
      </c>
      <c r="N21" s="62"/>
      <c r="O21" s="63"/>
      <c r="P21" s="63"/>
      <c r="Q21" s="64"/>
    </row>
    <row r="22" spans="1:17" ht="17.25" customHeight="1" x14ac:dyDescent="0.2">
      <c r="A22" s="32"/>
      <c r="B22" s="21" t="s">
        <v>28</v>
      </c>
      <c r="C22" s="22" t="s">
        <v>67</v>
      </c>
      <c r="D22" s="40">
        <f t="shared" si="1"/>
        <v>17248224</v>
      </c>
      <c r="E22" s="62">
        <v>8970</v>
      </c>
      <c r="F22" s="62">
        <v>40800</v>
      </c>
      <c r="G22" s="62"/>
      <c r="H22" s="62"/>
      <c r="I22" s="62"/>
      <c r="J22" s="62">
        <v>17178079</v>
      </c>
      <c r="K22" s="62"/>
      <c r="L22" s="65"/>
      <c r="M22" s="62">
        <v>20375</v>
      </c>
      <c r="N22" s="62"/>
      <c r="O22" s="63"/>
      <c r="P22" s="63"/>
      <c r="Q22" s="64"/>
    </row>
    <row r="23" spans="1:17" ht="17.25" customHeight="1" x14ac:dyDescent="0.2">
      <c r="A23" s="32"/>
      <c r="B23" s="21" t="s">
        <v>124</v>
      </c>
      <c r="C23" s="22" t="s">
        <v>125</v>
      </c>
      <c r="D23" s="40">
        <f t="shared" si="1"/>
        <v>6751</v>
      </c>
      <c r="E23" s="66">
        <v>4270</v>
      </c>
      <c r="F23" s="66">
        <v>2481</v>
      </c>
      <c r="G23" s="66"/>
      <c r="H23" s="66"/>
      <c r="I23" s="66"/>
      <c r="J23" s="66"/>
      <c r="K23" s="66"/>
      <c r="L23" s="66"/>
      <c r="M23" s="66"/>
      <c r="N23" s="66"/>
      <c r="O23" s="63"/>
      <c r="P23" s="63"/>
      <c r="Q23" s="64"/>
    </row>
    <row r="24" spans="1:17" ht="17.25" customHeight="1" x14ac:dyDescent="0.2">
      <c r="A24" s="32"/>
      <c r="B24" s="21" t="s">
        <v>29</v>
      </c>
      <c r="C24" s="22" t="s">
        <v>68</v>
      </c>
      <c r="D24" s="40">
        <f t="shared" si="1"/>
        <v>19593274</v>
      </c>
      <c r="E24" s="66">
        <v>1117383</v>
      </c>
      <c r="F24" s="66">
        <v>9689049</v>
      </c>
      <c r="G24" s="66">
        <v>660088</v>
      </c>
      <c r="H24" s="66"/>
      <c r="I24" s="66">
        <v>7865447</v>
      </c>
      <c r="J24" s="66">
        <v>5100</v>
      </c>
      <c r="K24" s="66"/>
      <c r="L24" s="66">
        <v>256207</v>
      </c>
      <c r="M24" s="66"/>
      <c r="N24" s="66"/>
      <c r="O24" s="63"/>
      <c r="P24" s="63"/>
      <c r="Q24" s="64"/>
    </row>
    <row r="25" spans="1:17" ht="17.25" customHeight="1" x14ac:dyDescent="0.2">
      <c r="A25" s="32"/>
      <c r="B25" s="21" t="s">
        <v>120</v>
      </c>
      <c r="C25" s="22" t="s">
        <v>121</v>
      </c>
      <c r="D25" s="40">
        <f t="shared" si="1"/>
        <v>67053</v>
      </c>
      <c r="E25" s="62">
        <v>67053</v>
      </c>
      <c r="F25" s="62"/>
      <c r="G25" s="62"/>
      <c r="H25" s="62"/>
      <c r="I25" s="62"/>
      <c r="J25" s="62"/>
      <c r="K25" s="62"/>
      <c r="L25" s="62"/>
      <c r="M25" s="62"/>
      <c r="N25" s="62"/>
      <c r="O25" s="63"/>
      <c r="P25" s="63"/>
      <c r="Q25" s="64"/>
    </row>
    <row r="26" spans="1:17" ht="17.25" customHeight="1" x14ac:dyDescent="0.2">
      <c r="A26" s="32"/>
      <c r="B26" s="21" t="s">
        <v>113</v>
      </c>
      <c r="C26" s="22" t="s">
        <v>114</v>
      </c>
      <c r="D26" s="40">
        <f t="shared" si="1"/>
        <v>10479</v>
      </c>
      <c r="E26" s="62">
        <v>9492</v>
      </c>
      <c r="F26" s="62"/>
      <c r="G26" s="62">
        <v>987</v>
      </c>
      <c r="H26" s="62"/>
      <c r="I26" s="62"/>
      <c r="J26" s="62"/>
      <c r="K26" s="62"/>
      <c r="L26" s="62"/>
      <c r="M26" s="62"/>
      <c r="N26" s="62"/>
      <c r="O26" s="63"/>
      <c r="P26" s="63"/>
      <c r="Q26" s="64"/>
    </row>
    <row r="27" spans="1:17" ht="17.25" customHeight="1" x14ac:dyDescent="0.2">
      <c r="A27" s="32"/>
      <c r="B27" s="21" t="s">
        <v>30</v>
      </c>
      <c r="C27" s="22" t="s">
        <v>69</v>
      </c>
      <c r="D27" s="40">
        <f t="shared" si="1"/>
        <v>833254</v>
      </c>
      <c r="E27" s="62">
        <v>699384</v>
      </c>
      <c r="F27" s="62">
        <v>10669</v>
      </c>
      <c r="G27" s="62">
        <v>123201</v>
      </c>
      <c r="H27" s="62"/>
      <c r="I27" s="62"/>
      <c r="J27" s="62"/>
      <c r="K27" s="62"/>
      <c r="L27" s="62"/>
      <c r="M27" s="62"/>
      <c r="N27" s="62"/>
      <c r="O27" s="63"/>
      <c r="P27" s="63"/>
      <c r="Q27" s="64"/>
    </row>
    <row r="28" spans="1:17" ht="17.25" customHeight="1" x14ac:dyDescent="0.2">
      <c r="A28" s="32"/>
      <c r="B28" s="21" t="s">
        <v>31</v>
      </c>
      <c r="C28" s="22" t="s">
        <v>70</v>
      </c>
      <c r="D28" s="40">
        <f t="shared" si="1"/>
        <v>112859</v>
      </c>
      <c r="E28" s="62">
        <v>24315</v>
      </c>
      <c r="F28" s="62"/>
      <c r="G28" s="62">
        <v>88544</v>
      </c>
      <c r="H28" s="62"/>
      <c r="I28" s="62"/>
      <c r="J28" s="62"/>
      <c r="K28" s="62"/>
      <c r="L28" s="65"/>
      <c r="M28" s="62"/>
      <c r="N28" s="62"/>
      <c r="O28" s="63"/>
      <c r="P28" s="63"/>
      <c r="Q28" s="64"/>
    </row>
    <row r="29" spans="1:17" ht="17.25" customHeight="1" x14ac:dyDescent="0.2">
      <c r="A29" s="32"/>
      <c r="B29" s="21" t="s">
        <v>32</v>
      </c>
      <c r="C29" s="22" t="s">
        <v>71</v>
      </c>
      <c r="D29" s="40">
        <f t="shared" si="1"/>
        <v>14780</v>
      </c>
      <c r="E29" s="62">
        <v>9780</v>
      </c>
      <c r="F29" s="62"/>
      <c r="G29" s="62">
        <v>5000</v>
      </c>
      <c r="H29" s="62"/>
      <c r="I29" s="62"/>
      <c r="J29" s="62"/>
      <c r="K29" s="62"/>
      <c r="L29" s="65"/>
      <c r="M29" s="62"/>
      <c r="N29" s="62"/>
      <c r="O29" s="63"/>
      <c r="P29" s="63"/>
      <c r="Q29" s="64"/>
    </row>
    <row r="30" spans="1:17" ht="17.25" customHeight="1" x14ac:dyDescent="0.2">
      <c r="A30" s="32"/>
      <c r="B30" s="21" t="s">
        <v>33</v>
      </c>
      <c r="C30" s="22" t="s">
        <v>72</v>
      </c>
      <c r="D30" s="40">
        <f t="shared" si="1"/>
        <v>16887964</v>
      </c>
      <c r="E30" s="62">
        <v>432397</v>
      </c>
      <c r="F30" s="62">
        <v>10072422</v>
      </c>
      <c r="G30" s="62">
        <v>5659517</v>
      </c>
      <c r="H30" s="62"/>
      <c r="I30" s="62"/>
      <c r="J30" s="62">
        <v>690599</v>
      </c>
      <c r="K30" s="62"/>
      <c r="L30" s="62">
        <v>33029</v>
      </c>
      <c r="M30" s="62"/>
      <c r="N30" s="62"/>
      <c r="O30" s="63"/>
      <c r="P30" s="63"/>
      <c r="Q30" s="64"/>
    </row>
    <row r="31" spans="1:17" ht="17.25" customHeight="1" x14ac:dyDescent="0.2">
      <c r="A31" s="32"/>
      <c r="B31" s="21" t="s">
        <v>34</v>
      </c>
      <c r="C31" s="22" t="s">
        <v>99</v>
      </c>
      <c r="D31" s="40">
        <f t="shared" si="1"/>
        <v>8881891</v>
      </c>
      <c r="E31" s="62">
        <v>153420</v>
      </c>
      <c r="F31" s="62"/>
      <c r="G31" s="62">
        <v>7263839</v>
      </c>
      <c r="H31" s="62">
        <v>2620</v>
      </c>
      <c r="I31" s="62">
        <v>58299</v>
      </c>
      <c r="J31" s="62">
        <v>161933</v>
      </c>
      <c r="K31" s="62"/>
      <c r="L31" s="62">
        <v>1236300</v>
      </c>
      <c r="M31" s="62"/>
      <c r="N31" s="62"/>
      <c r="O31" s="63"/>
      <c r="P31" s="63">
        <v>5480</v>
      </c>
      <c r="Q31" s="64"/>
    </row>
    <row r="32" spans="1:17" ht="17.25" customHeight="1" x14ac:dyDescent="0.2">
      <c r="A32" s="32"/>
      <c r="B32" s="21" t="s">
        <v>35</v>
      </c>
      <c r="C32" s="22" t="s">
        <v>73</v>
      </c>
      <c r="D32" s="40">
        <f t="shared" si="1"/>
        <v>15019685</v>
      </c>
      <c r="E32" s="62">
        <v>2565747</v>
      </c>
      <c r="F32" s="62">
        <v>12900</v>
      </c>
      <c r="G32" s="62">
        <v>12394215</v>
      </c>
      <c r="H32" s="62"/>
      <c r="I32" s="62"/>
      <c r="J32" s="62"/>
      <c r="K32" s="62"/>
      <c r="L32" s="62">
        <v>2437</v>
      </c>
      <c r="M32" s="62"/>
      <c r="N32" s="62"/>
      <c r="O32" s="63">
        <v>44386</v>
      </c>
      <c r="P32" s="63"/>
      <c r="Q32" s="64"/>
    </row>
    <row r="33" spans="1:17" ht="17.25" customHeight="1" x14ac:dyDescent="0.2">
      <c r="A33" s="32"/>
      <c r="B33" s="21" t="s">
        <v>36</v>
      </c>
      <c r="C33" s="22" t="s">
        <v>74</v>
      </c>
      <c r="D33" s="40">
        <f t="shared" si="1"/>
        <v>775982</v>
      </c>
      <c r="E33" s="62">
        <v>267131</v>
      </c>
      <c r="F33" s="62">
        <v>89336</v>
      </c>
      <c r="G33" s="62">
        <v>78420</v>
      </c>
      <c r="H33" s="62"/>
      <c r="I33" s="62"/>
      <c r="J33" s="62">
        <v>242263</v>
      </c>
      <c r="K33" s="62"/>
      <c r="L33" s="62">
        <v>98832</v>
      </c>
      <c r="M33" s="62"/>
      <c r="N33" s="62"/>
      <c r="O33" s="63"/>
      <c r="P33" s="63"/>
      <c r="Q33" s="64"/>
    </row>
    <row r="34" spans="1:17" ht="17.25" customHeight="1" x14ac:dyDescent="0.2">
      <c r="A34" s="6"/>
      <c r="B34" s="21" t="s">
        <v>37</v>
      </c>
      <c r="C34" s="22" t="s">
        <v>37</v>
      </c>
      <c r="D34" s="40">
        <f t="shared" si="1"/>
        <v>76066</v>
      </c>
      <c r="E34" s="66">
        <v>6886</v>
      </c>
      <c r="F34" s="62"/>
      <c r="G34" s="66">
        <v>69180</v>
      </c>
      <c r="H34" s="66"/>
      <c r="I34" s="66"/>
      <c r="J34" s="66"/>
      <c r="K34" s="66"/>
      <c r="L34" s="66"/>
      <c r="M34" s="66"/>
      <c r="N34" s="66"/>
      <c r="O34" s="63"/>
      <c r="P34" s="63"/>
      <c r="Q34" s="64"/>
    </row>
    <row r="35" spans="1:17" ht="17.25" customHeight="1" x14ac:dyDescent="0.2">
      <c r="A35" s="32"/>
      <c r="B35" s="21" t="s">
        <v>38</v>
      </c>
      <c r="C35" s="22" t="s">
        <v>75</v>
      </c>
      <c r="D35" s="40">
        <f t="shared" si="1"/>
        <v>22502704</v>
      </c>
      <c r="E35" s="62">
        <v>437</v>
      </c>
      <c r="F35" s="62">
        <v>23310</v>
      </c>
      <c r="G35" s="62">
        <v>1952</v>
      </c>
      <c r="H35" s="62"/>
      <c r="I35" s="62"/>
      <c r="J35" s="62">
        <v>22454665</v>
      </c>
      <c r="K35" s="62"/>
      <c r="L35" s="62">
        <v>22340</v>
      </c>
      <c r="M35" s="62"/>
      <c r="N35" s="62"/>
      <c r="O35" s="63"/>
      <c r="P35" s="63"/>
      <c r="Q35" s="64"/>
    </row>
    <row r="36" spans="1:17" ht="17.25" customHeight="1" x14ac:dyDescent="0.2">
      <c r="A36" s="32"/>
      <c r="B36" s="21" t="s">
        <v>39</v>
      </c>
      <c r="C36" s="22" t="s">
        <v>100</v>
      </c>
      <c r="D36" s="40">
        <f t="shared" si="1"/>
        <v>16675910</v>
      </c>
      <c r="E36" s="62">
        <v>255969</v>
      </c>
      <c r="F36" s="62">
        <v>49811</v>
      </c>
      <c r="G36" s="62">
        <v>8941442</v>
      </c>
      <c r="H36" s="62">
        <v>2344930</v>
      </c>
      <c r="I36" s="62">
        <v>504814</v>
      </c>
      <c r="J36" s="62">
        <v>290363</v>
      </c>
      <c r="K36" s="62"/>
      <c r="L36" s="65">
        <v>419750</v>
      </c>
      <c r="M36" s="62">
        <v>3868831</v>
      </c>
      <c r="N36" s="62"/>
      <c r="O36" s="63"/>
      <c r="P36" s="63"/>
      <c r="Q36" s="64"/>
    </row>
    <row r="37" spans="1:17" ht="17.25" customHeight="1" x14ac:dyDescent="0.2">
      <c r="A37" s="32"/>
      <c r="B37" s="21" t="s">
        <v>144</v>
      </c>
      <c r="C37" s="22" t="s">
        <v>145</v>
      </c>
      <c r="D37" s="40">
        <f t="shared" si="1"/>
        <v>4363</v>
      </c>
      <c r="E37" s="62">
        <v>1230</v>
      </c>
      <c r="F37" s="62"/>
      <c r="G37" s="62"/>
      <c r="H37" s="62"/>
      <c r="I37" s="62"/>
      <c r="J37" s="62"/>
      <c r="K37" s="62"/>
      <c r="L37" s="65">
        <v>3133</v>
      </c>
      <c r="M37" s="62"/>
      <c r="N37" s="62"/>
      <c r="O37" s="63"/>
      <c r="P37" s="63"/>
      <c r="Q37" s="64"/>
    </row>
    <row r="38" spans="1:17" ht="17.25" customHeight="1" x14ac:dyDescent="0.2">
      <c r="A38" s="32"/>
      <c r="B38" s="21" t="s">
        <v>115</v>
      </c>
      <c r="C38" s="22" t="s">
        <v>116</v>
      </c>
      <c r="D38" s="40">
        <f t="shared" si="1"/>
        <v>55076</v>
      </c>
      <c r="E38" s="62">
        <v>8602</v>
      </c>
      <c r="F38" s="62"/>
      <c r="G38" s="62">
        <v>45204</v>
      </c>
      <c r="H38" s="62"/>
      <c r="I38" s="62"/>
      <c r="J38" s="62"/>
      <c r="K38" s="62"/>
      <c r="L38" s="65">
        <v>1270</v>
      </c>
      <c r="M38" s="62"/>
      <c r="N38" s="62"/>
      <c r="O38" s="63"/>
      <c r="P38" s="63"/>
      <c r="Q38" s="64"/>
    </row>
    <row r="39" spans="1:17" ht="17.25" customHeight="1" x14ac:dyDescent="0.2">
      <c r="A39" s="31"/>
      <c r="B39" s="21" t="s">
        <v>40</v>
      </c>
      <c r="C39" s="22" t="s">
        <v>76</v>
      </c>
      <c r="D39" s="40">
        <f t="shared" si="1"/>
        <v>28058</v>
      </c>
      <c r="E39" s="67">
        <v>28058</v>
      </c>
      <c r="F39" s="67"/>
      <c r="G39" s="67"/>
      <c r="H39" s="67"/>
      <c r="I39" s="67"/>
      <c r="J39" s="67"/>
      <c r="K39" s="67"/>
      <c r="L39" s="68"/>
      <c r="M39" s="67"/>
      <c r="N39" s="67"/>
      <c r="O39" s="69"/>
      <c r="P39" s="69"/>
      <c r="Q39" s="70"/>
    </row>
    <row r="40" spans="1:17" ht="17.25" customHeight="1" x14ac:dyDescent="0.2">
      <c r="A40" s="31"/>
      <c r="B40" s="21" t="s">
        <v>41</v>
      </c>
      <c r="C40" s="22" t="s">
        <v>77</v>
      </c>
      <c r="D40" s="40">
        <f t="shared" si="1"/>
        <v>10950813</v>
      </c>
      <c r="E40" s="67">
        <v>26058</v>
      </c>
      <c r="F40" s="67">
        <v>2981069</v>
      </c>
      <c r="G40" s="67">
        <v>2248391</v>
      </c>
      <c r="H40" s="67"/>
      <c r="I40" s="67">
        <v>424077</v>
      </c>
      <c r="J40" s="67">
        <v>4799703</v>
      </c>
      <c r="K40" s="67"/>
      <c r="L40" s="67">
        <v>141892</v>
      </c>
      <c r="M40" s="67">
        <v>329623</v>
      </c>
      <c r="N40" s="67"/>
      <c r="O40" s="69"/>
      <c r="P40" s="69"/>
      <c r="Q40" s="70"/>
    </row>
    <row r="41" spans="1:17" ht="17.25" customHeight="1" x14ac:dyDescent="0.2">
      <c r="A41" s="31"/>
      <c r="B41" s="21" t="s">
        <v>96</v>
      </c>
      <c r="C41" s="22" t="s">
        <v>103</v>
      </c>
      <c r="D41" s="40">
        <f t="shared" si="1"/>
        <v>7077746</v>
      </c>
      <c r="E41" s="67">
        <v>1310007</v>
      </c>
      <c r="F41" s="67">
        <v>65880</v>
      </c>
      <c r="G41" s="67">
        <v>4449736</v>
      </c>
      <c r="H41" s="67">
        <v>11970</v>
      </c>
      <c r="I41" s="67"/>
      <c r="J41" s="67"/>
      <c r="K41" s="67"/>
      <c r="L41" s="67">
        <v>259107</v>
      </c>
      <c r="M41" s="67">
        <v>981046</v>
      </c>
      <c r="N41" s="67"/>
      <c r="O41" s="69"/>
      <c r="P41" s="69"/>
      <c r="Q41" s="70"/>
    </row>
    <row r="42" spans="1:17" ht="17.25" customHeight="1" x14ac:dyDescent="0.2">
      <c r="A42" s="31"/>
      <c r="B42" s="21" t="s">
        <v>42</v>
      </c>
      <c r="C42" s="22" t="s">
        <v>78</v>
      </c>
      <c r="D42" s="40">
        <f t="shared" si="1"/>
        <v>95925</v>
      </c>
      <c r="E42" s="67">
        <v>4800</v>
      </c>
      <c r="F42" s="67"/>
      <c r="G42" s="67"/>
      <c r="H42" s="67"/>
      <c r="I42" s="67">
        <v>91125</v>
      </c>
      <c r="J42" s="67"/>
      <c r="K42" s="67"/>
      <c r="L42" s="67"/>
      <c r="M42" s="67"/>
      <c r="N42" s="67"/>
      <c r="O42" s="69"/>
      <c r="P42" s="69"/>
      <c r="Q42" s="70"/>
    </row>
    <row r="43" spans="1:17" ht="17.25" customHeight="1" x14ac:dyDescent="0.2">
      <c r="A43" s="31"/>
      <c r="B43" s="21" t="s">
        <v>106</v>
      </c>
      <c r="C43" s="22" t="s">
        <v>107</v>
      </c>
      <c r="D43" s="51">
        <f t="shared" si="1"/>
        <v>2406357</v>
      </c>
      <c r="E43" s="62">
        <v>297643</v>
      </c>
      <c r="F43" s="62">
        <v>162987</v>
      </c>
      <c r="G43" s="62">
        <v>1782337</v>
      </c>
      <c r="H43" s="62">
        <v>16250</v>
      </c>
      <c r="I43" s="62"/>
      <c r="J43" s="62"/>
      <c r="K43" s="62"/>
      <c r="L43" s="62">
        <v>147140</v>
      </c>
      <c r="M43" s="62"/>
      <c r="N43" s="62"/>
      <c r="O43" s="63"/>
      <c r="P43" s="63"/>
      <c r="Q43" s="64"/>
    </row>
    <row r="44" spans="1:17" ht="17.25" customHeight="1" x14ac:dyDescent="0.2">
      <c r="A44" s="31"/>
      <c r="B44" s="111" t="s">
        <v>148</v>
      </c>
      <c r="C44" s="112" t="s">
        <v>149</v>
      </c>
      <c r="D44" s="41">
        <f t="shared" si="1"/>
        <v>11196</v>
      </c>
      <c r="E44" s="67">
        <v>100</v>
      </c>
      <c r="F44" s="67"/>
      <c r="G44" s="67">
        <v>9846</v>
      </c>
      <c r="H44" s="67"/>
      <c r="I44" s="67"/>
      <c r="J44" s="67"/>
      <c r="K44" s="67">
        <v>1250</v>
      </c>
      <c r="L44" s="67"/>
      <c r="M44" s="67"/>
      <c r="N44" s="67"/>
      <c r="O44" s="69"/>
      <c r="P44" s="69"/>
      <c r="Q44" s="70"/>
    </row>
    <row r="45" spans="1:17" ht="17.25" customHeight="1" thickBot="1" x14ac:dyDescent="0.25">
      <c r="A45" s="115"/>
      <c r="B45" s="113" t="s">
        <v>127</v>
      </c>
      <c r="C45" s="114" t="s">
        <v>128</v>
      </c>
      <c r="D45" s="40">
        <f t="shared" si="1"/>
        <v>2656</v>
      </c>
      <c r="E45" s="94">
        <v>2656</v>
      </c>
      <c r="F45" s="94"/>
      <c r="G45" s="94"/>
      <c r="H45" s="94"/>
      <c r="I45" s="94"/>
      <c r="J45" s="94"/>
      <c r="K45" s="94"/>
      <c r="L45" s="94"/>
      <c r="M45" s="94"/>
      <c r="N45" s="94"/>
      <c r="O45" s="79"/>
      <c r="P45" s="79"/>
      <c r="Q45" s="80"/>
    </row>
    <row r="46" spans="1:17" ht="17.25" customHeight="1" thickBot="1" x14ac:dyDescent="0.25">
      <c r="D46" s="73">
        <f>SUM(D13:D45)</f>
        <v>385679451</v>
      </c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5"/>
    </row>
    <row r="47" spans="1:17" ht="17.25" customHeight="1" thickBot="1" x14ac:dyDescent="0.25">
      <c r="C47" s="93"/>
      <c r="D47" s="76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5"/>
    </row>
    <row r="48" spans="1:17" ht="17.25" customHeight="1" x14ac:dyDescent="0.2">
      <c r="A48" s="10" t="s">
        <v>12</v>
      </c>
      <c r="B48" s="110" t="s">
        <v>150</v>
      </c>
      <c r="C48" s="20" t="s">
        <v>141</v>
      </c>
      <c r="D48" s="39">
        <f>SUM(E48:P48)</f>
        <v>920</v>
      </c>
      <c r="E48" s="77">
        <v>920</v>
      </c>
      <c r="F48" s="77"/>
      <c r="G48" s="77"/>
      <c r="H48" s="77"/>
      <c r="I48" s="77"/>
      <c r="J48" s="103"/>
      <c r="K48" s="77"/>
      <c r="L48" s="77"/>
      <c r="M48" s="77"/>
      <c r="N48" s="77"/>
      <c r="O48" s="58"/>
      <c r="P48" s="58"/>
      <c r="Q48" s="59"/>
    </row>
    <row r="49" spans="1:17" ht="17.25" customHeight="1" x14ac:dyDescent="0.2">
      <c r="A49" s="106" t="s">
        <v>122</v>
      </c>
      <c r="B49" s="21" t="s">
        <v>146</v>
      </c>
      <c r="C49" s="22" t="s">
        <v>147</v>
      </c>
      <c r="D49" s="40">
        <f>SUM(E49:P49)</f>
        <v>6230</v>
      </c>
      <c r="E49" s="66">
        <v>6230</v>
      </c>
      <c r="F49" s="66"/>
      <c r="G49" s="66"/>
      <c r="H49" s="66"/>
      <c r="I49" s="66"/>
      <c r="J49" s="107"/>
      <c r="K49" s="66"/>
      <c r="L49" s="66"/>
      <c r="M49" s="66"/>
      <c r="N49" s="66"/>
      <c r="O49" s="63"/>
      <c r="P49" s="63"/>
      <c r="Q49" s="64"/>
    </row>
    <row r="50" spans="1:17" ht="17.25" customHeight="1" thickBot="1" x14ac:dyDescent="0.25">
      <c r="A50" s="108"/>
      <c r="B50" s="23" t="s">
        <v>43</v>
      </c>
      <c r="C50" s="100" t="s">
        <v>79</v>
      </c>
      <c r="D50" s="51">
        <f>SUM(E50:P50)</f>
        <v>1071751</v>
      </c>
      <c r="E50" s="101">
        <v>1892</v>
      </c>
      <c r="F50" s="101">
        <v>234694</v>
      </c>
      <c r="G50" s="101">
        <v>322</v>
      </c>
      <c r="H50" s="101"/>
      <c r="I50" s="101">
        <v>29098</v>
      </c>
      <c r="J50" s="102"/>
      <c r="K50" s="101"/>
      <c r="L50" s="101">
        <v>805745</v>
      </c>
      <c r="M50" s="101"/>
      <c r="N50" s="101"/>
      <c r="O50" s="71"/>
      <c r="P50" s="71"/>
      <c r="Q50" s="72"/>
    </row>
    <row r="51" spans="1:17" ht="17.25" customHeight="1" thickBot="1" x14ac:dyDescent="0.25">
      <c r="B51" s="99"/>
      <c r="C51" s="95"/>
      <c r="D51" s="81">
        <f>SUM(D48:D50)</f>
        <v>1078901</v>
      </c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3"/>
    </row>
    <row r="52" spans="1:17" ht="17.25" customHeight="1" x14ac:dyDescent="0.2">
      <c r="B52" s="97"/>
      <c r="C52" s="97"/>
      <c r="D52" s="98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3"/>
    </row>
    <row r="53" spans="1:17" ht="17.25" customHeight="1" x14ac:dyDescent="0.2">
      <c r="A53" s="96"/>
      <c r="B53" s="97"/>
      <c r="C53" s="97"/>
      <c r="D53" s="98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3"/>
    </row>
    <row r="54" spans="1:17" ht="17.25" customHeight="1" thickBot="1" x14ac:dyDescent="0.25">
      <c r="D54" s="84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4"/>
      <c r="P54" s="84"/>
      <c r="Q54" s="84"/>
    </row>
    <row r="55" spans="1:17" ht="17.25" customHeight="1" x14ac:dyDescent="0.2">
      <c r="A55" s="10" t="s">
        <v>109</v>
      </c>
      <c r="B55" s="19" t="s">
        <v>135</v>
      </c>
      <c r="C55" s="20" t="s">
        <v>136</v>
      </c>
      <c r="D55" s="52">
        <f>SUM(E55:M55)</f>
        <v>4279648</v>
      </c>
      <c r="E55" s="77"/>
      <c r="F55" s="77"/>
      <c r="G55" s="77"/>
      <c r="H55" s="77"/>
      <c r="I55" s="77">
        <v>4279648</v>
      </c>
      <c r="J55" s="77"/>
      <c r="K55" s="77"/>
      <c r="L55" s="77"/>
      <c r="M55" s="77"/>
      <c r="N55" s="77"/>
      <c r="O55" s="58"/>
      <c r="P55" s="58"/>
      <c r="Q55" s="59"/>
    </row>
    <row r="56" spans="1:17" ht="17.25" customHeight="1" x14ac:dyDescent="0.2">
      <c r="A56" s="5" t="s">
        <v>123</v>
      </c>
      <c r="B56" s="25" t="s">
        <v>44</v>
      </c>
      <c r="C56" s="26" t="s">
        <v>80</v>
      </c>
      <c r="D56" s="53">
        <f>SUM(E56:M56)</f>
        <v>27400</v>
      </c>
      <c r="E56" s="92">
        <v>975</v>
      </c>
      <c r="F56" s="92"/>
      <c r="G56" s="92"/>
      <c r="H56" s="92"/>
      <c r="I56" s="92"/>
      <c r="J56" s="92"/>
      <c r="K56" s="92"/>
      <c r="L56" s="92">
        <v>26425</v>
      </c>
      <c r="M56" s="92"/>
      <c r="N56" s="92"/>
      <c r="O56" s="60"/>
      <c r="P56" s="60"/>
      <c r="Q56" s="61"/>
    </row>
    <row r="57" spans="1:17" ht="17.25" customHeight="1" x14ac:dyDescent="0.2">
      <c r="A57" s="31"/>
      <c r="B57" s="25" t="s">
        <v>45</v>
      </c>
      <c r="C57" s="26" t="s">
        <v>81</v>
      </c>
      <c r="D57" s="40">
        <f>SUM(E57:M57)</f>
        <v>945867</v>
      </c>
      <c r="E57" s="66">
        <v>4315</v>
      </c>
      <c r="F57" s="66"/>
      <c r="G57" s="66"/>
      <c r="H57" s="66"/>
      <c r="I57" s="66">
        <v>930170</v>
      </c>
      <c r="J57" s="66">
        <v>11382</v>
      </c>
      <c r="K57" s="66"/>
      <c r="L57" s="66"/>
      <c r="M57" s="66"/>
      <c r="N57" s="66"/>
      <c r="O57" s="63"/>
      <c r="P57" s="63"/>
      <c r="Q57" s="64"/>
    </row>
    <row r="58" spans="1:17" ht="17.25" customHeight="1" x14ac:dyDescent="0.2">
      <c r="A58" s="31"/>
      <c r="B58" s="104" t="s">
        <v>137</v>
      </c>
      <c r="C58" s="105" t="s">
        <v>138</v>
      </c>
      <c r="D58" s="40">
        <f>SUM(E58:M58)</f>
        <v>26296</v>
      </c>
      <c r="E58" s="66">
        <v>26296</v>
      </c>
      <c r="F58" s="66"/>
      <c r="G58" s="66"/>
      <c r="H58" s="66"/>
      <c r="I58" s="66"/>
      <c r="J58" s="66"/>
      <c r="K58" s="66"/>
      <c r="L58" s="66"/>
      <c r="M58" s="66"/>
      <c r="N58" s="66"/>
      <c r="O58" s="63"/>
      <c r="P58" s="63"/>
      <c r="Q58" s="64"/>
    </row>
    <row r="59" spans="1:17" ht="17.25" customHeight="1" x14ac:dyDescent="0.2">
      <c r="A59" s="5"/>
      <c r="B59" s="25" t="s">
        <v>46</v>
      </c>
      <c r="C59" s="26" t="s">
        <v>82</v>
      </c>
      <c r="D59" s="40">
        <f>SUM(E59:P59)</f>
        <v>2451886</v>
      </c>
      <c r="E59" s="66">
        <v>1586936</v>
      </c>
      <c r="F59" s="66">
        <v>587739</v>
      </c>
      <c r="G59" s="66">
        <v>102505</v>
      </c>
      <c r="H59" s="66"/>
      <c r="I59" s="66"/>
      <c r="J59" s="66">
        <v>94971</v>
      </c>
      <c r="K59" s="66"/>
      <c r="L59" s="66"/>
      <c r="M59" s="66">
        <v>63589</v>
      </c>
      <c r="N59" s="66"/>
      <c r="O59" s="63">
        <v>16146</v>
      </c>
      <c r="P59" s="63"/>
      <c r="Q59" s="64"/>
    </row>
    <row r="60" spans="1:17" ht="17.25" customHeight="1" x14ac:dyDescent="0.2">
      <c r="A60" s="5"/>
      <c r="B60" s="25" t="s">
        <v>142</v>
      </c>
      <c r="C60" s="26" t="s">
        <v>143</v>
      </c>
      <c r="D60" s="40">
        <f>SUM(E60:P60)</f>
        <v>3851317</v>
      </c>
      <c r="E60" s="66"/>
      <c r="F60" s="66"/>
      <c r="G60" s="66"/>
      <c r="H60" s="66"/>
      <c r="I60" s="66"/>
      <c r="J60" s="66"/>
      <c r="K60" s="66"/>
      <c r="L60" s="66"/>
      <c r="M60" s="66">
        <v>3851317</v>
      </c>
      <c r="N60" s="66"/>
      <c r="O60" s="63"/>
      <c r="P60" s="63"/>
      <c r="Q60" s="64"/>
    </row>
    <row r="61" spans="1:17" ht="17.25" customHeight="1" x14ac:dyDescent="0.2">
      <c r="A61" s="5"/>
      <c r="B61" s="25" t="s">
        <v>126</v>
      </c>
      <c r="C61" s="26" t="s">
        <v>126</v>
      </c>
      <c r="D61" s="51">
        <f>SUM(E61:M61)</f>
        <v>240882</v>
      </c>
      <c r="E61" s="66"/>
      <c r="F61" s="66"/>
      <c r="G61" s="66">
        <v>240882</v>
      </c>
      <c r="H61" s="66"/>
      <c r="I61" s="66"/>
      <c r="J61" s="66"/>
      <c r="K61" s="66"/>
      <c r="L61" s="66"/>
      <c r="M61" s="66"/>
      <c r="N61" s="66"/>
      <c r="O61" s="63"/>
      <c r="P61" s="63"/>
      <c r="Q61" s="64"/>
    </row>
    <row r="62" spans="1:17" ht="17.25" customHeight="1" thickBot="1" x14ac:dyDescent="0.25">
      <c r="A62" s="8"/>
      <c r="B62" s="23" t="s">
        <v>97</v>
      </c>
      <c r="C62" s="24" t="s">
        <v>97</v>
      </c>
      <c r="D62" s="51">
        <f>SUM(E62:P62)</f>
        <v>51945721</v>
      </c>
      <c r="E62" s="78">
        <v>6341291</v>
      </c>
      <c r="F62" s="78">
        <v>289457</v>
      </c>
      <c r="G62" s="78">
        <v>6044016</v>
      </c>
      <c r="H62" s="78">
        <v>12157292</v>
      </c>
      <c r="I62" s="78">
        <v>28176</v>
      </c>
      <c r="J62" s="78"/>
      <c r="K62" s="78">
        <v>1938</v>
      </c>
      <c r="L62" s="78">
        <v>1827284</v>
      </c>
      <c r="M62" s="78">
        <v>25249428</v>
      </c>
      <c r="N62" s="78"/>
      <c r="O62" s="79">
        <v>6839</v>
      </c>
      <c r="P62" s="79"/>
      <c r="Q62" s="80"/>
    </row>
    <row r="63" spans="1:17" ht="17.25" customHeight="1" thickBot="1" x14ac:dyDescent="0.25">
      <c r="A63" s="2"/>
      <c r="B63" s="14"/>
      <c r="C63" s="14"/>
      <c r="D63" s="81">
        <f>SUM(D55:D62)</f>
        <v>63769017</v>
      </c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3"/>
    </row>
    <row r="64" spans="1:17" ht="17.25" customHeight="1" thickBot="1" x14ac:dyDescent="0.25">
      <c r="D64" s="84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4"/>
      <c r="P64" s="84"/>
      <c r="Q64" s="84"/>
    </row>
    <row r="65" spans="1:17" ht="17.25" customHeight="1" x14ac:dyDescent="0.2">
      <c r="A65" s="10" t="s">
        <v>13</v>
      </c>
      <c r="B65" s="19" t="s">
        <v>47</v>
      </c>
      <c r="C65" s="20" t="s">
        <v>95</v>
      </c>
      <c r="D65" s="52">
        <f t="shared" ref="D65:D78" si="2">SUM(E65:P65)</f>
        <v>9758305</v>
      </c>
      <c r="E65" s="77">
        <v>244693</v>
      </c>
      <c r="F65" s="77">
        <v>6856</v>
      </c>
      <c r="G65" s="77">
        <v>8952229</v>
      </c>
      <c r="H65" s="77"/>
      <c r="I65" s="77">
        <v>554527</v>
      </c>
      <c r="J65" s="77"/>
      <c r="K65" s="77"/>
      <c r="L65" s="77"/>
      <c r="M65" s="77"/>
      <c r="N65" s="77"/>
      <c r="O65" s="58"/>
      <c r="P65" s="58"/>
      <c r="Q65" s="59"/>
    </row>
    <row r="66" spans="1:17" ht="17.25" customHeight="1" x14ac:dyDescent="0.2">
      <c r="A66" s="5" t="s">
        <v>94</v>
      </c>
      <c r="B66" s="25" t="s">
        <v>48</v>
      </c>
      <c r="C66" s="26" t="s">
        <v>101</v>
      </c>
      <c r="D66" s="53">
        <f t="shared" si="2"/>
        <v>3001417</v>
      </c>
      <c r="E66" s="66">
        <v>19215</v>
      </c>
      <c r="F66" s="66">
        <v>18200</v>
      </c>
      <c r="G66" s="66"/>
      <c r="H66" s="66"/>
      <c r="I66" s="66">
        <v>101807</v>
      </c>
      <c r="J66" s="66"/>
      <c r="K66" s="66"/>
      <c r="L66" s="66"/>
      <c r="M66" s="66">
        <v>2862195</v>
      </c>
      <c r="N66" s="66"/>
      <c r="O66" s="63"/>
      <c r="P66" s="63"/>
      <c r="Q66" s="64"/>
    </row>
    <row r="67" spans="1:17" ht="17.25" customHeight="1" x14ac:dyDescent="0.2">
      <c r="A67" s="5"/>
      <c r="B67" s="25" t="s">
        <v>112</v>
      </c>
      <c r="C67" s="26" t="s">
        <v>112</v>
      </c>
      <c r="D67" s="40">
        <f t="shared" si="2"/>
        <v>250</v>
      </c>
      <c r="E67" s="66"/>
      <c r="F67" s="66"/>
      <c r="G67" s="66">
        <v>250</v>
      </c>
      <c r="H67" s="66"/>
      <c r="I67" s="66"/>
      <c r="J67" s="66"/>
      <c r="K67" s="66"/>
      <c r="L67" s="66"/>
      <c r="M67" s="66"/>
      <c r="N67" s="66"/>
      <c r="O67" s="63"/>
      <c r="P67" s="63"/>
      <c r="Q67" s="64"/>
    </row>
    <row r="68" spans="1:17" ht="17.25" customHeight="1" x14ac:dyDescent="0.2">
      <c r="A68" s="5"/>
      <c r="B68" s="25" t="s">
        <v>49</v>
      </c>
      <c r="C68" s="26" t="s">
        <v>83</v>
      </c>
      <c r="D68" s="40">
        <f t="shared" si="2"/>
        <v>1710956</v>
      </c>
      <c r="E68" s="66">
        <v>914783</v>
      </c>
      <c r="F68" s="66"/>
      <c r="G68" s="66">
        <v>82575</v>
      </c>
      <c r="H68" s="66"/>
      <c r="I68" s="66">
        <v>713598</v>
      </c>
      <c r="J68" s="66"/>
      <c r="K68" s="66"/>
      <c r="L68" s="66"/>
      <c r="M68" s="66"/>
      <c r="N68" s="66"/>
      <c r="O68" s="63"/>
      <c r="P68" s="63"/>
      <c r="Q68" s="64"/>
    </row>
    <row r="69" spans="1:17" ht="17.25" customHeight="1" x14ac:dyDescent="0.2">
      <c r="A69" s="5"/>
      <c r="B69" s="25" t="s">
        <v>104</v>
      </c>
      <c r="C69" s="26" t="s">
        <v>105</v>
      </c>
      <c r="D69" s="40">
        <f t="shared" si="2"/>
        <v>3305029</v>
      </c>
      <c r="E69" s="66"/>
      <c r="F69" s="66">
        <v>104241</v>
      </c>
      <c r="G69" s="66">
        <v>3100988</v>
      </c>
      <c r="H69" s="66"/>
      <c r="I69" s="66">
        <v>99800</v>
      </c>
      <c r="J69" s="66"/>
      <c r="K69" s="66"/>
      <c r="L69" s="66"/>
      <c r="M69" s="66"/>
      <c r="N69" s="66"/>
      <c r="O69" s="63"/>
      <c r="P69" s="63"/>
      <c r="Q69" s="64"/>
    </row>
    <row r="70" spans="1:17" ht="17.25" customHeight="1" x14ac:dyDescent="0.2">
      <c r="A70" s="5"/>
      <c r="B70" s="25" t="s">
        <v>119</v>
      </c>
      <c r="C70" s="26" t="s">
        <v>119</v>
      </c>
      <c r="D70" s="40">
        <f t="shared" si="2"/>
        <v>33707</v>
      </c>
      <c r="E70" s="66"/>
      <c r="F70" s="66"/>
      <c r="G70" s="66"/>
      <c r="H70" s="66"/>
      <c r="I70" s="66"/>
      <c r="J70" s="66">
        <v>33707</v>
      </c>
      <c r="K70" s="66"/>
      <c r="L70" s="66"/>
      <c r="M70" s="66"/>
      <c r="N70" s="66"/>
      <c r="O70" s="63"/>
      <c r="P70" s="63"/>
      <c r="Q70" s="64"/>
    </row>
    <row r="71" spans="1:17" ht="17.25" customHeight="1" x14ac:dyDescent="0.2">
      <c r="A71" s="5"/>
      <c r="B71" s="25" t="s">
        <v>50</v>
      </c>
      <c r="C71" s="26" t="s">
        <v>84</v>
      </c>
      <c r="D71" s="40">
        <f t="shared" si="2"/>
        <v>872311</v>
      </c>
      <c r="E71" s="66">
        <v>8673</v>
      </c>
      <c r="F71" s="66">
        <v>25500</v>
      </c>
      <c r="G71" s="66">
        <v>838138</v>
      </c>
      <c r="H71" s="66"/>
      <c r="I71" s="66"/>
      <c r="J71" s="66"/>
      <c r="K71" s="66"/>
      <c r="L71" s="66"/>
      <c r="M71" s="66"/>
      <c r="N71" s="66"/>
      <c r="O71" s="63"/>
      <c r="P71" s="63"/>
      <c r="Q71" s="64"/>
    </row>
    <row r="72" spans="1:17" ht="17.25" customHeight="1" x14ac:dyDescent="0.2">
      <c r="A72" s="5"/>
      <c r="B72" s="33" t="s">
        <v>110</v>
      </c>
      <c r="C72" s="34" t="s">
        <v>111</v>
      </c>
      <c r="D72" s="40">
        <f t="shared" si="2"/>
        <v>11314</v>
      </c>
      <c r="E72" s="66">
        <v>11314</v>
      </c>
      <c r="F72" s="66"/>
      <c r="G72" s="66"/>
      <c r="H72" s="66"/>
      <c r="I72" s="66"/>
      <c r="J72" s="66"/>
      <c r="K72" s="66"/>
      <c r="L72" s="66"/>
      <c r="M72" s="66"/>
      <c r="N72" s="66"/>
      <c r="O72" s="63"/>
      <c r="P72" s="63"/>
      <c r="Q72" s="64"/>
    </row>
    <row r="73" spans="1:17" ht="17.25" customHeight="1" x14ac:dyDescent="0.2">
      <c r="A73" s="9"/>
      <c r="B73" s="25" t="s">
        <v>52</v>
      </c>
      <c r="C73" s="26" t="s">
        <v>86</v>
      </c>
      <c r="D73" s="40">
        <f t="shared" si="2"/>
        <v>1090897</v>
      </c>
      <c r="E73" s="66">
        <v>27795</v>
      </c>
      <c r="F73" s="66">
        <v>164459</v>
      </c>
      <c r="G73" s="66">
        <v>149328</v>
      </c>
      <c r="H73" s="66"/>
      <c r="I73" s="66">
        <v>749315</v>
      </c>
      <c r="J73" s="66"/>
      <c r="K73" s="85"/>
      <c r="L73" s="66"/>
      <c r="M73" s="66"/>
      <c r="N73" s="66"/>
      <c r="O73" s="63"/>
      <c r="P73" s="63"/>
      <c r="Q73" s="64"/>
    </row>
    <row r="74" spans="1:17" ht="17.25" customHeight="1" x14ac:dyDescent="0.2">
      <c r="A74" s="7"/>
      <c r="B74" s="35" t="s">
        <v>53</v>
      </c>
      <c r="C74" s="26" t="s">
        <v>102</v>
      </c>
      <c r="D74" s="40">
        <f t="shared" si="2"/>
        <v>183276</v>
      </c>
      <c r="E74" s="66">
        <v>183276</v>
      </c>
      <c r="F74" s="66"/>
      <c r="G74" s="66"/>
      <c r="H74" s="66"/>
      <c r="I74" s="66"/>
      <c r="J74" s="66"/>
      <c r="K74" s="82"/>
      <c r="L74" s="66"/>
      <c r="M74" s="66"/>
      <c r="N74" s="66"/>
      <c r="O74" s="63"/>
      <c r="P74" s="63"/>
      <c r="Q74" s="64"/>
    </row>
    <row r="75" spans="1:17" ht="17.25" customHeight="1" x14ac:dyDescent="0.2">
      <c r="A75" s="6"/>
      <c r="B75" s="25" t="s">
        <v>118</v>
      </c>
      <c r="C75" s="26" t="s">
        <v>117</v>
      </c>
      <c r="D75" s="40">
        <f t="shared" si="2"/>
        <v>5019</v>
      </c>
      <c r="E75" s="66">
        <v>5019</v>
      </c>
      <c r="F75" s="66"/>
      <c r="G75" s="66"/>
      <c r="H75" s="66"/>
      <c r="I75" s="66"/>
      <c r="J75" s="66"/>
      <c r="K75" s="66"/>
      <c r="L75" s="66"/>
      <c r="M75" s="66"/>
      <c r="N75" s="66"/>
      <c r="O75" s="63"/>
      <c r="P75" s="63"/>
      <c r="Q75" s="64"/>
    </row>
    <row r="76" spans="1:17" ht="17.25" customHeight="1" x14ac:dyDescent="0.2">
      <c r="A76" s="6"/>
      <c r="B76" s="25" t="s">
        <v>54</v>
      </c>
      <c r="C76" s="26" t="s">
        <v>87</v>
      </c>
      <c r="D76" s="40">
        <f t="shared" si="2"/>
        <v>15626685</v>
      </c>
      <c r="E76" s="66"/>
      <c r="F76" s="66">
        <v>47764</v>
      </c>
      <c r="G76" s="66"/>
      <c r="H76" s="66">
        <v>4974976</v>
      </c>
      <c r="I76" s="66">
        <v>7076444</v>
      </c>
      <c r="J76" s="66"/>
      <c r="K76" s="66"/>
      <c r="L76" s="66"/>
      <c r="M76" s="66">
        <v>3527501</v>
      </c>
      <c r="N76" s="66"/>
      <c r="O76" s="63"/>
      <c r="P76" s="63"/>
      <c r="Q76" s="64"/>
    </row>
    <row r="77" spans="1:17" ht="17.25" customHeight="1" x14ac:dyDescent="0.2">
      <c r="A77" s="6"/>
      <c r="B77" s="25" t="s">
        <v>55</v>
      </c>
      <c r="C77" s="26" t="s">
        <v>55</v>
      </c>
      <c r="D77" s="40">
        <f t="shared" si="2"/>
        <v>6297162</v>
      </c>
      <c r="E77" s="66">
        <v>6000</v>
      </c>
      <c r="F77" s="66">
        <v>4370597</v>
      </c>
      <c r="G77" s="66">
        <v>1834422</v>
      </c>
      <c r="H77" s="66"/>
      <c r="I77" s="66">
        <v>86143</v>
      </c>
      <c r="J77" s="66"/>
      <c r="K77" s="66"/>
      <c r="L77" s="66"/>
      <c r="M77" s="66"/>
      <c r="N77" s="66"/>
      <c r="O77" s="63"/>
      <c r="P77" s="63"/>
      <c r="Q77" s="64"/>
    </row>
    <row r="78" spans="1:17" ht="17.25" customHeight="1" x14ac:dyDescent="0.2">
      <c r="A78" s="6"/>
      <c r="B78" s="25" t="s">
        <v>56</v>
      </c>
      <c r="C78" s="26" t="s">
        <v>56</v>
      </c>
      <c r="D78" s="40">
        <f t="shared" si="2"/>
        <v>10940428</v>
      </c>
      <c r="E78" s="66">
        <v>985</v>
      </c>
      <c r="F78" s="66">
        <v>7774401</v>
      </c>
      <c r="G78" s="66"/>
      <c r="H78" s="66"/>
      <c r="I78" s="66">
        <v>3165042</v>
      </c>
      <c r="J78" s="66"/>
      <c r="K78" s="66"/>
      <c r="L78" s="66"/>
      <c r="M78" s="66"/>
      <c r="N78" s="66"/>
      <c r="O78" s="63"/>
      <c r="P78" s="63"/>
      <c r="Q78" s="64"/>
    </row>
    <row r="79" spans="1:17" ht="17.25" customHeight="1" x14ac:dyDescent="0.2">
      <c r="A79" s="6"/>
      <c r="B79" s="25" t="s">
        <v>85</v>
      </c>
      <c r="C79" s="26" t="s">
        <v>51</v>
      </c>
      <c r="D79" s="40">
        <f t="shared" ref="D79" si="3">SUM(E79:P79)</f>
        <v>182502</v>
      </c>
      <c r="E79" s="66">
        <v>182502</v>
      </c>
      <c r="F79" s="66"/>
      <c r="G79" s="66"/>
      <c r="H79" s="66"/>
      <c r="I79" s="66"/>
      <c r="J79" s="66"/>
      <c r="K79" s="66"/>
      <c r="L79" s="66"/>
      <c r="M79" s="66"/>
      <c r="N79" s="66"/>
      <c r="O79" s="63"/>
      <c r="P79" s="63"/>
      <c r="Q79" s="64"/>
    </row>
    <row r="80" spans="1:17" ht="17.25" customHeight="1" x14ac:dyDescent="0.2">
      <c r="A80" s="6"/>
      <c r="B80" s="25" t="s">
        <v>57</v>
      </c>
      <c r="C80" s="26" t="s">
        <v>88</v>
      </c>
      <c r="D80" s="40">
        <f>SUM(E80:P80)</f>
        <v>2233605</v>
      </c>
      <c r="E80" s="66"/>
      <c r="F80" s="66">
        <v>10575</v>
      </c>
      <c r="G80" s="66"/>
      <c r="H80" s="66"/>
      <c r="I80" s="66">
        <v>2223030</v>
      </c>
      <c r="J80" s="66"/>
      <c r="K80" s="66"/>
      <c r="L80" s="66"/>
      <c r="M80" s="66"/>
      <c r="N80" s="66"/>
      <c r="O80" s="63"/>
      <c r="P80" s="63"/>
      <c r="Q80" s="64"/>
    </row>
    <row r="81" spans="1:17" ht="17.25" customHeight="1" x14ac:dyDescent="0.2">
      <c r="A81" s="6"/>
      <c r="B81" s="21" t="s">
        <v>58</v>
      </c>
      <c r="C81" s="22" t="s">
        <v>89</v>
      </c>
      <c r="D81" s="51">
        <f>SUM(E81:P81)</f>
        <v>302284</v>
      </c>
      <c r="E81" s="66">
        <v>14250</v>
      </c>
      <c r="F81" s="66">
        <v>38043</v>
      </c>
      <c r="G81" s="66">
        <v>217389</v>
      </c>
      <c r="H81" s="66"/>
      <c r="I81" s="66">
        <v>17370</v>
      </c>
      <c r="J81" s="66">
        <v>13800</v>
      </c>
      <c r="K81" s="66"/>
      <c r="L81" s="66">
        <v>1432</v>
      </c>
      <c r="M81" s="66"/>
      <c r="N81" s="66"/>
      <c r="O81" s="62"/>
      <c r="P81" s="62"/>
      <c r="Q81" s="70"/>
    </row>
    <row r="82" spans="1:17" ht="17.25" customHeight="1" thickBot="1" x14ac:dyDescent="0.25">
      <c r="A82" s="37"/>
      <c r="B82" s="27" t="s">
        <v>129</v>
      </c>
      <c r="C82" s="28" t="s">
        <v>130</v>
      </c>
      <c r="D82" s="51">
        <f>SUM(E82:P82)</f>
        <v>3712959</v>
      </c>
      <c r="E82" s="78"/>
      <c r="F82" s="78">
        <v>608</v>
      </c>
      <c r="G82" s="78">
        <v>3665711</v>
      </c>
      <c r="H82" s="78"/>
      <c r="I82" s="78">
        <v>46640</v>
      </c>
      <c r="J82" s="78"/>
      <c r="K82" s="78"/>
      <c r="L82" s="78"/>
      <c r="M82" s="78"/>
      <c r="N82" s="78"/>
      <c r="O82" s="94"/>
      <c r="P82" s="94"/>
      <c r="Q82" s="80"/>
    </row>
    <row r="83" spans="1:17" ht="17.25" customHeight="1" thickBot="1" x14ac:dyDescent="0.25">
      <c r="A83" s="36"/>
      <c r="B83" s="14"/>
      <c r="C83" s="14"/>
      <c r="D83" s="86">
        <f>SUM(D65:D82)</f>
        <v>59268106</v>
      </c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3"/>
    </row>
    <row r="84" spans="1:17" ht="17.25" customHeight="1" thickBot="1" x14ac:dyDescent="0.25">
      <c r="A84" s="2"/>
      <c r="D84" s="84"/>
      <c r="E84" s="82"/>
      <c r="F84" s="87"/>
      <c r="G84" s="82"/>
      <c r="H84" s="82"/>
      <c r="I84" s="82"/>
      <c r="J84" s="82"/>
      <c r="K84" s="82"/>
      <c r="L84" s="82"/>
      <c r="M84" s="82"/>
      <c r="N84" s="82"/>
      <c r="O84" s="84"/>
      <c r="P84" s="84"/>
      <c r="Q84" s="84"/>
    </row>
    <row r="85" spans="1:17" ht="17.25" customHeight="1" x14ac:dyDescent="0.2">
      <c r="A85" s="10" t="s">
        <v>18</v>
      </c>
      <c r="B85" s="19" t="s">
        <v>90</v>
      </c>
      <c r="C85" s="20" t="s">
        <v>91</v>
      </c>
      <c r="D85" s="52">
        <f>SUM(E85:P85)</f>
        <v>21293</v>
      </c>
      <c r="E85" s="88">
        <v>8190</v>
      </c>
      <c r="F85" s="88"/>
      <c r="G85" s="88">
        <v>13103</v>
      </c>
      <c r="H85" s="88"/>
      <c r="I85" s="88"/>
      <c r="J85" s="88"/>
      <c r="K85" s="88"/>
      <c r="L85" s="88"/>
      <c r="M85" s="88"/>
      <c r="N85" s="88"/>
      <c r="O85" s="89"/>
      <c r="P85" s="89"/>
      <c r="Q85" s="90"/>
    </row>
    <row r="86" spans="1:17" ht="17.25" customHeight="1" thickBot="1" x14ac:dyDescent="0.25">
      <c r="A86" s="13" t="s">
        <v>91</v>
      </c>
      <c r="B86" s="27" t="s">
        <v>92</v>
      </c>
      <c r="C86" s="28" t="s">
        <v>93</v>
      </c>
      <c r="D86" s="40">
        <f>SUM(E86:P86)</f>
        <v>63931</v>
      </c>
      <c r="E86" s="78">
        <v>60418</v>
      </c>
      <c r="F86" s="78">
        <v>3360</v>
      </c>
      <c r="G86" s="78">
        <v>153</v>
      </c>
      <c r="H86" s="78"/>
      <c r="I86" s="78"/>
      <c r="J86" s="78"/>
      <c r="K86" s="78"/>
      <c r="L86" s="78"/>
      <c r="M86" s="78"/>
      <c r="N86" s="78"/>
      <c r="O86" s="91"/>
      <c r="P86" s="91"/>
      <c r="Q86" s="80"/>
    </row>
    <row r="87" spans="1:17" ht="17.25" customHeight="1" thickBot="1" x14ac:dyDescent="0.25">
      <c r="D87" s="54">
        <f>SUM(D85:D86)</f>
        <v>85224</v>
      </c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2"/>
      <c r="P87" s="12"/>
      <c r="Q87" s="12"/>
    </row>
    <row r="94" spans="1:17" ht="17.25" customHeight="1" x14ac:dyDescent="0.2"/>
    <row r="95" spans="1:17" ht="17.25" customHeight="1" x14ac:dyDescent="0.2"/>
    <row r="96" spans="1:17" ht="16.899999999999999" customHeight="1" x14ac:dyDescent="0.2"/>
    <row r="97" spans="1:17" ht="16.899999999999999" customHeight="1" x14ac:dyDescent="0.2"/>
    <row r="99" spans="1:17" x14ac:dyDescent="0.2">
      <c r="B99" s="14"/>
      <c r="C99" s="14"/>
      <c r="O99" s="2"/>
      <c r="P99" s="2"/>
      <c r="Q99" s="2"/>
    </row>
    <row r="100" spans="1:17" x14ac:dyDescent="0.2">
      <c r="A100" s="2"/>
      <c r="B100" s="14"/>
      <c r="C100" s="14"/>
      <c r="F100" s="55"/>
      <c r="O100" s="2"/>
      <c r="P100" s="2"/>
      <c r="Q100" s="2"/>
    </row>
    <row r="101" spans="1:17" x14ac:dyDescent="0.2">
      <c r="A101" s="2"/>
      <c r="B101" s="14"/>
      <c r="C101" s="14"/>
      <c r="F101" s="55"/>
      <c r="O101" s="2"/>
      <c r="P101" s="2"/>
      <c r="Q101" s="2"/>
    </row>
    <row r="102" spans="1:17" x14ac:dyDescent="0.2">
      <c r="A102" s="2"/>
      <c r="B102" s="14"/>
      <c r="C102" s="14"/>
      <c r="F102" s="55"/>
      <c r="O102" s="2"/>
      <c r="P102" s="2"/>
      <c r="Q102" s="2"/>
    </row>
    <row r="103" spans="1:17" x14ac:dyDescent="0.2">
      <c r="A103" s="2"/>
      <c r="B103" s="14"/>
      <c r="C103" s="14"/>
      <c r="F103" s="55"/>
      <c r="O103" s="2"/>
      <c r="P103" s="2"/>
      <c r="Q103" s="2"/>
    </row>
    <row r="104" spans="1:17" x14ac:dyDescent="0.2">
      <c r="A104" s="2"/>
      <c r="B104" s="14"/>
      <c r="C104" s="14"/>
      <c r="F104" s="55"/>
      <c r="O104" s="2"/>
      <c r="P104" s="2"/>
      <c r="Q104" s="2"/>
    </row>
    <row r="105" spans="1:17" x14ac:dyDescent="0.2">
      <c r="A105" s="2"/>
      <c r="B105" s="14"/>
      <c r="C105" s="14"/>
      <c r="F105" s="55"/>
      <c r="O105" s="2"/>
      <c r="P105" s="2"/>
      <c r="Q105" s="2"/>
    </row>
    <row r="106" spans="1:17" x14ac:dyDescent="0.2">
      <c r="A106" s="2"/>
      <c r="B106" s="14"/>
      <c r="C106" s="14"/>
      <c r="O106" s="2"/>
      <c r="P106" s="2"/>
      <c r="Q106" s="2"/>
    </row>
    <row r="107" spans="1:17" x14ac:dyDescent="0.2">
      <c r="A107" s="2"/>
      <c r="B107" s="14"/>
      <c r="C107" s="14"/>
      <c r="O107" s="2"/>
      <c r="P107" s="2"/>
      <c r="Q107" s="2"/>
    </row>
    <row r="108" spans="1:17" x14ac:dyDescent="0.2">
      <c r="A108" s="2"/>
      <c r="B108" s="14"/>
      <c r="C108" s="14"/>
      <c r="O108" s="2"/>
      <c r="P108" s="2"/>
      <c r="Q108" s="2"/>
    </row>
    <row r="109" spans="1:17" x14ac:dyDescent="0.2">
      <c r="A109" s="2"/>
      <c r="B109" s="14"/>
      <c r="C109" s="14"/>
      <c r="O109" s="2"/>
      <c r="P109" s="2"/>
      <c r="Q109" s="2"/>
    </row>
    <row r="110" spans="1:17" x14ac:dyDescent="0.2">
      <c r="A110" s="2"/>
      <c r="B110" s="14"/>
      <c r="C110" s="14"/>
      <c r="O110" s="2"/>
      <c r="P110" s="2"/>
      <c r="Q110" s="2"/>
    </row>
    <row r="111" spans="1:17" x14ac:dyDescent="0.2">
      <c r="A111" s="2"/>
      <c r="B111" s="14"/>
      <c r="C111" s="14"/>
      <c r="O111" s="2"/>
      <c r="P111" s="2"/>
      <c r="Q111" s="2"/>
    </row>
    <row r="112" spans="1:17" x14ac:dyDescent="0.2">
      <c r="A112" s="2"/>
      <c r="B112" s="14"/>
      <c r="C112" s="14"/>
      <c r="O112" s="2"/>
      <c r="P112" s="2"/>
      <c r="Q112" s="2"/>
    </row>
    <row r="113" spans="1:17" x14ac:dyDescent="0.2">
      <c r="A113" s="2"/>
      <c r="B113" s="14"/>
      <c r="C113" s="14"/>
      <c r="O113" s="2"/>
      <c r="P113" s="2"/>
      <c r="Q113" s="2"/>
    </row>
    <row r="114" spans="1:17" x14ac:dyDescent="0.2">
      <c r="A114" s="2"/>
      <c r="B114" s="14"/>
      <c r="C114" s="14"/>
      <c r="O114" s="2"/>
      <c r="P114" s="2"/>
      <c r="Q114" s="2"/>
    </row>
    <row r="115" spans="1:17" x14ac:dyDescent="0.2">
      <c r="A115" s="2"/>
      <c r="B115" s="14"/>
      <c r="C115" s="14"/>
      <c r="O115" s="2"/>
      <c r="P115" s="2"/>
      <c r="Q115" s="2"/>
    </row>
    <row r="116" spans="1:17" x14ac:dyDescent="0.2">
      <c r="A116" s="2"/>
      <c r="B116" s="14"/>
      <c r="C116" s="14"/>
      <c r="O116" s="2"/>
      <c r="P116" s="2"/>
      <c r="Q116" s="2"/>
    </row>
    <row r="117" spans="1:17" x14ac:dyDescent="0.2">
      <c r="A117" s="2"/>
      <c r="B117" s="14"/>
      <c r="C117" s="14"/>
      <c r="O117" s="2"/>
      <c r="P117" s="2"/>
      <c r="Q117" s="2"/>
    </row>
    <row r="118" spans="1:17" x14ac:dyDescent="0.2">
      <c r="A118" s="2"/>
      <c r="B118" s="14"/>
      <c r="C118" s="14"/>
      <c r="O118" s="2"/>
      <c r="P118" s="2"/>
      <c r="Q118" s="2"/>
    </row>
    <row r="119" spans="1:17" x14ac:dyDescent="0.2">
      <c r="A119" s="2"/>
      <c r="B119" s="14"/>
      <c r="C119" s="14"/>
      <c r="O119" s="2"/>
      <c r="P119" s="2"/>
      <c r="Q119" s="2"/>
    </row>
    <row r="120" spans="1:17" x14ac:dyDescent="0.2">
      <c r="A120" s="2"/>
      <c r="B120" s="14"/>
      <c r="C120" s="14"/>
      <c r="O120" s="2"/>
      <c r="P120" s="2"/>
      <c r="Q120" s="2"/>
    </row>
    <row r="121" spans="1:17" x14ac:dyDescent="0.2">
      <c r="A121" s="2"/>
      <c r="B121" s="14"/>
      <c r="C121" s="14"/>
      <c r="O121" s="2"/>
      <c r="P121" s="2"/>
      <c r="Q121" s="2"/>
    </row>
    <row r="122" spans="1:17" x14ac:dyDescent="0.2">
      <c r="A122" s="2"/>
      <c r="B122" s="14"/>
      <c r="C122" s="14"/>
      <c r="O122" s="2"/>
      <c r="P122" s="2"/>
      <c r="Q122" s="2"/>
    </row>
    <row r="123" spans="1:17" x14ac:dyDescent="0.2">
      <c r="A123" s="2"/>
      <c r="B123" s="14"/>
      <c r="C123" s="14"/>
      <c r="O123" s="2"/>
      <c r="P123" s="2"/>
      <c r="Q123" s="2"/>
    </row>
    <row r="124" spans="1:17" x14ac:dyDescent="0.2">
      <c r="A124" s="2"/>
      <c r="B124" s="14"/>
      <c r="C124" s="14"/>
      <c r="O124" s="2"/>
      <c r="P124" s="2"/>
      <c r="Q124" s="2"/>
    </row>
    <row r="125" spans="1:17" x14ac:dyDescent="0.2">
      <c r="A125" s="2"/>
      <c r="B125" s="14"/>
      <c r="C125" s="14"/>
      <c r="O125" s="2"/>
      <c r="P125" s="2"/>
      <c r="Q125" s="2"/>
    </row>
    <row r="126" spans="1:17" x14ac:dyDescent="0.2">
      <c r="A126" s="2"/>
      <c r="B126" s="14"/>
      <c r="C126" s="14"/>
      <c r="O126" s="2"/>
      <c r="P126" s="2"/>
      <c r="Q126" s="2"/>
    </row>
    <row r="127" spans="1:17" x14ac:dyDescent="0.2">
      <c r="A127" s="2"/>
      <c r="B127" s="14"/>
      <c r="C127" s="14"/>
      <c r="O127" s="2"/>
      <c r="P127" s="2"/>
      <c r="Q127" s="2"/>
    </row>
    <row r="128" spans="1:17" x14ac:dyDescent="0.2">
      <c r="A128" s="2"/>
      <c r="B128" s="14"/>
      <c r="C128" s="14"/>
      <c r="O128" s="2"/>
      <c r="P128" s="2"/>
      <c r="Q128" s="2"/>
    </row>
    <row r="129" spans="1:17" x14ac:dyDescent="0.2">
      <c r="A129" s="2"/>
      <c r="B129" s="14"/>
      <c r="C129" s="14"/>
      <c r="O129" s="2"/>
      <c r="P129" s="2"/>
      <c r="Q129" s="2"/>
    </row>
    <row r="130" spans="1:17" x14ac:dyDescent="0.2">
      <c r="A130" s="2"/>
      <c r="B130" s="14"/>
      <c r="C130" s="14"/>
      <c r="O130" s="2"/>
      <c r="P130" s="2"/>
      <c r="Q130" s="2"/>
    </row>
    <row r="131" spans="1:17" x14ac:dyDescent="0.2">
      <c r="A131" s="2"/>
      <c r="B131" s="14"/>
      <c r="C131" s="14"/>
      <c r="O131" s="2"/>
      <c r="P131" s="2"/>
      <c r="Q131" s="2"/>
    </row>
    <row r="132" spans="1:17" x14ac:dyDescent="0.2">
      <c r="A132" s="2"/>
      <c r="B132" s="14"/>
      <c r="C132" s="14"/>
      <c r="O132" s="2"/>
      <c r="P132" s="2"/>
      <c r="Q132" s="2"/>
    </row>
    <row r="133" spans="1:17" x14ac:dyDescent="0.2">
      <c r="A133" s="2"/>
      <c r="B133" s="14"/>
      <c r="C133" s="14"/>
      <c r="O133" s="2"/>
      <c r="P133" s="2"/>
      <c r="Q133" s="2"/>
    </row>
    <row r="134" spans="1:17" x14ac:dyDescent="0.2">
      <c r="A134" s="2"/>
      <c r="B134" s="14"/>
      <c r="C134" s="14"/>
      <c r="O134" s="2"/>
      <c r="P134" s="2"/>
      <c r="Q134" s="2"/>
    </row>
    <row r="135" spans="1:17" x14ac:dyDescent="0.2">
      <c r="A135" s="2"/>
      <c r="B135" s="14"/>
      <c r="C135" s="14"/>
      <c r="O135" s="2"/>
      <c r="P135" s="2"/>
      <c r="Q135" s="2"/>
    </row>
    <row r="136" spans="1:17" x14ac:dyDescent="0.2">
      <c r="A136" s="2"/>
      <c r="B136" s="14"/>
      <c r="C136" s="14"/>
      <c r="O136" s="2"/>
      <c r="P136" s="2"/>
      <c r="Q136" s="2"/>
    </row>
    <row r="137" spans="1:17" x14ac:dyDescent="0.2">
      <c r="A137" s="2"/>
      <c r="B137" s="14"/>
      <c r="C137" s="14"/>
      <c r="O137" s="2"/>
      <c r="P137" s="2"/>
      <c r="Q137" s="2"/>
    </row>
    <row r="138" spans="1:17" x14ac:dyDescent="0.2">
      <c r="A138" s="2"/>
      <c r="B138" s="14"/>
      <c r="C138" s="14"/>
      <c r="O138" s="2"/>
      <c r="P138" s="2"/>
      <c r="Q138" s="2"/>
    </row>
    <row r="139" spans="1:17" x14ac:dyDescent="0.2">
      <c r="A139" s="2"/>
      <c r="B139" s="14"/>
      <c r="C139" s="14"/>
      <c r="O139" s="2"/>
      <c r="P139" s="2"/>
      <c r="Q139" s="2"/>
    </row>
    <row r="140" spans="1:17" x14ac:dyDescent="0.2">
      <c r="A140" s="2"/>
      <c r="B140" s="14"/>
      <c r="C140" s="14"/>
      <c r="O140" s="2"/>
      <c r="P140" s="2"/>
      <c r="Q140" s="2"/>
    </row>
    <row r="141" spans="1:17" x14ac:dyDescent="0.2">
      <c r="A141" s="2"/>
      <c r="B141" s="14"/>
      <c r="C141" s="14"/>
      <c r="O141" s="2"/>
      <c r="P141" s="2"/>
      <c r="Q141" s="2"/>
    </row>
    <row r="142" spans="1:17" x14ac:dyDescent="0.2">
      <c r="A142" s="2"/>
      <c r="B142" s="14"/>
      <c r="C142" s="14"/>
      <c r="O142" s="2"/>
      <c r="P142" s="2"/>
      <c r="Q142" s="2"/>
    </row>
    <row r="143" spans="1:17" x14ac:dyDescent="0.2">
      <c r="A143" s="2"/>
      <c r="B143" s="14"/>
      <c r="C143" s="14"/>
      <c r="O143" s="2"/>
      <c r="P143" s="2"/>
      <c r="Q143" s="2"/>
    </row>
    <row r="144" spans="1:17" x14ac:dyDescent="0.2">
      <c r="A144" s="2"/>
      <c r="B144" s="14"/>
      <c r="C144" s="14"/>
      <c r="O144" s="2"/>
      <c r="P144" s="2"/>
      <c r="Q144" s="2"/>
    </row>
    <row r="145" spans="1:17" x14ac:dyDescent="0.2">
      <c r="A145" s="2"/>
      <c r="B145" s="14"/>
      <c r="C145" s="14"/>
      <c r="O145" s="2"/>
      <c r="P145" s="2"/>
      <c r="Q145" s="2"/>
    </row>
    <row r="146" spans="1:17" x14ac:dyDescent="0.2">
      <c r="A146" s="2"/>
      <c r="B146" s="14"/>
      <c r="C146" s="14"/>
      <c r="O146" s="2"/>
      <c r="P146" s="2"/>
      <c r="Q146" s="2"/>
    </row>
    <row r="147" spans="1:17" x14ac:dyDescent="0.2">
      <c r="A147" s="2"/>
      <c r="B147" s="14"/>
      <c r="C147" s="14"/>
      <c r="O147" s="2"/>
      <c r="P147" s="2"/>
      <c r="Q147" s="2"/>
    </row>
    <row r="148" spans="1:17" x14ac:dyDescent="0.2">
      <c r="A148" s="2"/>
      <c r="B148" s="14"/>
      <c r="C148" s="14"/>
      <c r="O148" s="2"/>
      <c r="P148" s="2"/>
      <c r="Q148" s="2"/>
    </row>
    <row r="149" spans="1:17" x14ac:dyDescent="0.2">
      <c r="A149" s="2"/>
      <c r="B149" s="14"/>
      <c r="C149" s="14"/>
      <c r="O149" s="2"/>
      <c r="P149" s="2"/>
      <c r="Q149" s="2"/>
    </row>
    <row r="150" spans="1:17" x14ac:dyDescent="0.2">
      <c r="A150" s="2"/>
      <c r="B150" s="14"/>
      <c r="C150" s="14"/>
      <c r="O150" s="2"/>
      <c r="P150" s="2"/>
      <c r="Q150" s="2"/>
    </row>
    <row r="151" spans="1:17" x14ac:dyDescent="0.2">
      <c r="A151" s="2"/>
      <c r="B151" s="14"/>
      <c r="C151" s="14"/>
      <c r="O151" s="2"/>
      <c r="P151" s="2"/>
      <c r="Q151" s="2"/>
    </row>
    <row r="152" spans="1:17" x14ac:dyDescent="0.2">
      <c r="A152" s="2"/>
      <c r="B152" s="14"/>
      <c r="C152" s="14"/>
      <c r="O152" s="2"/>
      <c r="P152" s="2"/>
      <c r="Q152" s="2"/>
    </row>
    <row r="153" spans="1:17" x14ac:dyDescent="0.2">
      <c r="A153" s="2"/>
      <c r="B153" s="14"/>
      <c r="C153" s="14"/>
      <c r="O153" s="2"/>
      <c r="P153" s="2"/>
      <c r="Q153" s="2"/>
    </row>
    <row r="154" spans="1:17" x14ac:dyDescent="0.2">
      <c r="A154" s="2"/>
      <c r="B154" s="14"/>
      <c r="C154" s="14"/>
      <c r="O154" s="2"/>
      <c r="P154" s="2"/>
      <c r="Q154" s="2"/>
    </row>
    <row r="155" spans="1:17" x14ac:dyDescent="0.2">
      <c r="A155" s="2"/>
      <c r="B155" s="14"/>
      <c r="C155" s="14"/>
      <c r="O155" s="2"/>
      <c r="P155" s="2"/>
      <c r="Q155" s="2"/>
    </row>
    <row r="156" spans="1:17" x14ac:dyDescent="0.2">
      <c r="A156" s="2"/>
      <c r="B156" s="14"/>
      <c r="C156" s="14"/>
      <c r="O156" s="2"/>
      <c r="P156" s="2"/>
      <c r="Q156" s="2"/>
    </row>
    <row r="157" spans="1:17" x14ac:dyDescent="0.2">
      <c r="A157" s="2"/>
      <c r="B157" s="14"/>
      <c r="C157" s="14"/>
      <c r="O157" s="2"/>
      <c r="P157" s="2"/>
      <c r="Q157" s="2"/>
    </row>
    <row r="158" spans="1:17" x14ac:dyDescent="0.2">
      <c r="A158" s="2"/>
      <c r="B158" s="14"/>
      <c r="C158" s="14"/>
      <c r="O158" s="2"/>
      <c r="P158" s="2"/>
      <c r="Q158" s="2"/>
    </row>
    <row r="159" spans="1:17" x14ac:dyDescent="0.2">
      <c r="A159" s="2"/>
      <c r="B159" s="14"/>
      <c r="C159" s="14"/>
      <c r="O159" s="2"/>
      <c r="P159" s="2"/>
      <c r="Q159" s="2"/>
    </row>
    <row r="160" spans="1:17" x14ac:dyDescent="0.2">
      <c r="A160" s="2"/>
      <c r="B160" s="14"/>
      <c r="C160" s="14"/>
      <c r="O160" s="2"/>
      <c r="P160" s="2"/>
      <c r="Q160" s="2"/>
    </row>
    <row r="161" spans="1:17" x14ac:dyDescent="0.2">
      <c r="A161" s="2"/>
      <c r="B161" s="14"/>
      <c r="C161" s="14"/>
      <c r="O161" s="2"/>
      <c r="P161" s="2"/>
      <c r="Q161" s="2"/>
    </row>
    <row r="162" spans="1:17" x14ac:dyDescent="0.2">
      <c r="A162" s="2"/>
    </row>
  </sheetData>
  <phoneticPr fontId="0" type="noConversion"/>
  <conditionalFormatting sqref="E21:M22 E62:M62 E55:M56 E85:M86 G34:M34 E34 E35:M36 E76:M78 O76:O78 O24:O36 O85:O86 O55:O56 O62 O21:O22 Q21:Q22 Q62 Q55:Q56 Q85:Q86 Q24:Q36 Q76:Q78 Q80:Q82 O80:O82 E80:M82 Q38:Q42 O38:O42 E38:M42 E24:M33 E13:Q19 E65:Q74 E48:Q48">
    <cfRule type="containsBlanks" dxfId="45" priority="96" stopIfTrue="1">
      <formula>LEN(TRIM(E13))=0</formula>
    </cfRule>
  </conditionalFormatting>
  <conditionalFormatting sqref="E57:M58 O57:O58 Q57:Q58">
    <cfRule type="containsBlanks" dxfId="44" priority="91" stopIfTrue="1">
      <formula>LEN(TRIM(E57))=0</formula>
    </cfRule>
  </conditionalFormatting>
  <conditionalFormatting sqref="E75:M75 O75 Q75">
    <cfRule type="containsBlanks" dxfId="43" priority="88" stopIfTrue="1">
      <formula>LEN(TRIM(E75))=0</formula>
    </cfRule>
  </conditionalFormatting>
  <conditionalFormatting sqref="E59:M59 O59 Q59">
    <cfRule type="containsBlanks" dxfId="42" priority="86" stopIfTrue="1">
      <formula>LEN(TRIM(E59))=0</formula>
    </cfRule>
  </conditionalFormatting>
  <conditionalFormatting sqref="E20:M20 O20 Q20">
    <cfRule type="containsBlanks" dxfId="41" priority="83" stopIfTrue="1">
      <formula>LEN(TRIM(E20))=0</formula>
    </cfRule>
  </conditionalFormatting>
  <conditionalFormatting sqref="E23:M23 O23 Q23">
    <cfRule type="containsBlanks" dxfId="40" priority="82" stopIfTrue="1">
      <formula>LEN(TRIM(E23))=0</formula>
    </cfRule>
  </conditionalFormatting>
  <conditionalFormatting sqref="E50:M50 O50 Q50">
    <cfRule type="containsBlanks" dxfId="39" priority="79" stopIfTrue="1">
      <formula>LEN(TRIM(E50))=0</formula>
    </cfRule>
  </conditionalFormatting>
  <conditionalFormatting sqref="E61:M61 O61 Q61">
    <cfRule type="containsBlanks" dxfId="38" priority="70" stopIfTrue="1">
      <formula>LEN(TRIM(E61))=0</formula>
    </cfRule>
  </conditionalFormatting>
  <conditionalFormatting sqref="E43:M43 O43 Q43">
    <cfRule type="containsBlanks" dxfId="37" priority="69" stopIfTrue="1">
      <formula>LEN(TRIM(E43))=0</formula>
    </cfRule>
  </conditionalFormatting>
  <conditionalFormatting sqref="F34">
    <cfRule type="containsBlanks" dxfId="36" priority="67" stopIfTrue="1">
      <formula>LEN(TRIM(F34))=0</formula>
    </cfRule>
  </conditionalFormatting>
  <conditionalFormatting sqref="N59">
    <cfRule type="containsBlanks" dxfId="35" priority="47" stopIfTrue="1">
      <formula>LEN(TRIM(N59))=0</formula>
    </cfRule>
  </conditionalFormatting>
  <conditionalFormatting sqref="N21:N22 N62 N55:N56 N85:N86 N24:N36 N76:N78 N80:N82 N38:N42">
    <cfRule type="containsBlanks" dxfId="34" priority="50" stopIfTrue="1">
      <formula>LEN(TRIM(N21))=0</formula>
    </cfRule>
  </conditionalFormatting>
  <conditionalFormatting sqref="N75">
    <cfRule type="containsBlanks" dxfId="33" priority="48" stopIfTrue="1">
      <formula>LEN(TRIM(N75))=0</formula>
    </cfRule>
  </conditionalFormatting>
  <conditionalFormatting sqref="N61">
    <cfRule type="containsBlanks" dxfId="32" priority="43" stopIfTrue="1">
      <formula>LEN(TRIM(N61))=0</formula>
    </cfRule>
  </conditionalFormatting>
  <conditionalFormatting sqref="N20">
    <cfRule type="containsBlanks" dxfId="31" priority="46" stopIfTrue="1">
      <formula>LEN(TRIM(N20))=0</formula>
    </cfRule>
  </conditionalFormatting>
  <conditionalFormatting sqref="N57:N58">
    <cfRule type="containsBlanks" dxfId="30" priority="49" stopIfTrue="1">
      <formula>LEN(TRIM(N57))=0</formula>
    </cfRule>
  </conditionalFormatting>
  <conditionalFormatting sqref="N50">
    <cfRule type="containsBlanks" dxfId="29" priority="44" stopIfTrue="1">
      <formula>LEN(TRIM(N50))=0</formula>
    </cfRule>
  </conditionalFormatting>
  <conditionalFormatting sqref="N43">
    <cfRule type="containsBlanks" dxfId="28" priority="42" stopIfTrue="1">
      <formula>LEN(TRIM(N43))=0</formula>
    </cfRule>
  </conditionalFormatting>
  <conditionalFormatting sqref="N23">
    <cfRule type="containsBlanks" dxfId="27" priority="45" stopIfTrue="1">
      <formula>LEN(TRIM(N23))=0</formula>
    </cfRule>
  </conditionalFormatting>
  <conditionalFormatting sqref="P59">
    <cfRule type="containsBlanks" dxfId="26" priority="36" stopIfTrue="1">
      <formula>LEN(TRIM(P59))=0</formula>
    </cfRule>
  </conditionalFormatting>
  <conditionalFormatting sqref="P76:P78 P24:P36 P85:P86 P55:P56 P62 P21:P22 P80:P82 P38:P42">
    <cfRule type="containsBlanks" dxfId="25" priority="39" stopIfTrue="1">
      <formula>LEN(TRIM(P21))=0</formula>
    </cfRule>
  </conditionalFormatting>
  <conditionalFormatting sqref="P75">
    <cfRule type="containsBlanks" dxfId="24" priority="37" stopIfTrue="1">
      <formula>LEN(TRIM(P75))=0</formula>
    </cfRule>
  </conditionalFormatting>
  <conditionalFormatting sqref="P61">
    <cfRule type="containsBlanks" dxfId="23" priority="32" stopIfTrue="1">
      <formula>LEN(TRIM(P61))=0</formula>
    </cfRule>
  </conditionalFormatting>
  <conditionalFormatting sqref="P20">
    <cfRule type="containsBlanks" dxfId="22" priority="35" stopIfTrue="1">
      <formula>LEN(TRIM(P20))=0</formula>
    </cfRule>
  </conditionalFormatting>
  <conditionalFormatting sqref="P57:P58">
    <cfRule type="containsBlanks" dxfId="21" priority="38" stopIfTrue="1">
      <formula>LEN(TRIM(P57))=0</formula>
    </cfRule>
  </conditionalFormatting>
  <conditionalFormatting sqref="P50">
    <cfRule type="containsBlanks" dxfId="20" priority="33" stopIfTrue="1">
      <formula>LEN(TRIM(P50))=0</formula>
    </cfRule>
  </conditionalFormatting>
  <conditionalFormatting sqref="P43">
    <cfRule type="containsBlanks" dxfId="19" priority="31" stopIfTrue="1">
      <formula>LEN(TRIM(P43))=0</formula>
    </cfRule>
  </conditionalFormatting>
  <conditionalFormatting sqref="P23">
    <cfRule type="containsBlanks" dxfId="18" priority="34" stopIfTrue="1">
      <formula>LEN(TRIM(P23))=0</formula>
    </cfRule>
  </conditionalFormatting>
  <conditionalFormatting sqref="P60">
    <cfRule type="containsBlanks" dxfId="17" priority="21" stopIfTrue="1">
      <formula>LEN(TRIM(P60))=0</formula>
    </cfRule>
  </conditionalFormatting>
  <conditionalFormatting sqref="E60:M60 O60 Q60">
    <cfRule type="containsBlanks" dxfId="16" priority="24" stopIfTrue="1">
      <formula>LEN(TRIM(E60))=0</formula>
    </cfRule>
  </conditionalFormatting>
  <conditionalFormatting sqref="N60">
    <cfRule type="containsBlanks" dxfId="15" priority="22" stopIfTrue="1">
      <formula>LEN(TRIM(N60))=0</formula>
    </cfRule>
  </conditionalFormatting>
  <conditionalFormatting sqref="E79:M79 O79 Q79">
    <cfRule type="containsBlanks" dxfId="14" priority="20" stopIfTrue="1">
      <formula>LEN(TRIM(E79))=0</formula>
    </cfRule>
  </conditionalFormatting>
  <conditionalFormatting sqref="N79">
    <cfRule type="containsBlanks" dxfId="13" priority="18" stopIfTrue="1">
      <formula>LEN(TRIM(N79))=0</formula>
    </cfRule>
  </conditionalFormatting>
  <conditionalFormatting sqref="P79">
    <cfRule type="containsBlanks" dxfId="12" priority="17" stopIfTrue="1">
      <formula>LEN(TRIM(P79))=0</formula>
    </cfRule>
  </conditionalFormatting>
  <conditionalFormatting sqref="N37">
    <cfRule type="containsBlanks" dxfId="11" priority="14" stopIfTrue="1">
      <formula>LEN(TRIM(N37))=0</formula>
    </cfRule>
  </conditionalFormatting>
  <conditionalFormatting sqref="P37">
    <cfRule type="containsBlanks" dxfId="10" priority="13" stopIfTrue="1">
      <formula>LEN(TRIM(P37))=0</formula>
    </cfRule>
  </conditionalFormatting>
  <conditionalFormatting sqref="E37:M37 O37 Q37">
    <cfRule type="containsBlanks" dxfId="9" priority="16" stopIfTrue="1">
      <formula>LEN(TRIM(E37))=0</formula>
    </cfRule>
  </conditionalFormatting>
  <conditionalFormatting sqref="N49">
    <cfRule type="containsBlanks" dxfId="8" priority="10" stopIfTrue="1">
      <formula>LEN(TRIM(N49))=0</formula>
    </cfRule>
  </conditionalFormatting>
  <conditionalFormatting sqref="P49">
    <cfRule type="containsBlanks" dxfId="7" priority="9" stopIfTrue="1">
      <formula>LEN(TRIM(P49))=0</formula>
    </cfRule>
  </conditionalFormatting>
  <conditionalFormatting sqref="E49:M49 O49 Q49">
    <cfRule type="containsBlanks" dxfId="6" priority="12" stopIfTrue="1">
      <formula>LEN(TRIM(E49))=0</formula>
    </cfRule>
  </conditionalFormatting>
  <conditionalFormatting sqref="E45:M45 O45 Q45">
    <cfRule type="containsBlanks" dxfId="5" priority="8" stopIfTrue="1">
      <formula>LEN(TRIM(E45))=0</formula>
    </cfRule>
  </conditionalFormatting>
  <conditionalFormatting sqref="N45">
    <cfRule type="containsBlanks" dxfId="4" priority="6" stopIfTrue="1">
      <formula>LEN(TRIM(N45))=0</formula>
    </cfRule>
  </conditionalFormatting>
  <conditionalFormatting sqref="P45">
    <cfRule type="containsBlanks" dxfId="3" priority="5" stopIfTrue="1">
      <formula>LEN(TRIM(P45))=0</formula>
    </cfRule>
  </conditionalFormatting>
  <conditionalFormatting sqref="E44:M44 O44 Q44">
    <cfRule type="containsBlanks" dxfId="2" priority="4" stopIfTrue="1">
      <formula>LEN(TRIM(E44))=0</formula>
    </cfRule>
  </conditionalFormatting>
  <conditionalFormatting sqref="N44">
    <cfRule type="containsBlanks" dxfId="1" priority="2" stopIfTrue="1">
      <formula>LEN(TRIM(N44))=0</formula>
    </cfRule>
  </conditionalFormatting>
  <conditionalFormatting sqref="P44">
    <cfRule type="containsBlanks" dxfId="0" priority="1" stopIfTrue="1">
      <formula>LEN(TRIM(P44))=0</formula>
    </cfRule>
  </conditionalFormatting>
  <pageMargins left="0.6692913385826772" right="0.43307086614173229" top="0.35" bottom="0.19685039370078741" header="0.19685039370078741" footer="0.19685039370078741"/>
  <pageSetup paperSize="9" scale="61" fitToHeight="2" orientation="landscape" r:id="rId1"/>
  <headerFooter alignWithMargins="0">
    <oddFooter xml:space="preserve">&amp;R&amp;8
&amp;C&amp;8
</oddFooter>
  </headerFooter>
  <rowBreaks count="2" manualBreakCount="2">
    <brk id="45" max="16383" man="1"/>
    <brk id="84" max="14" man="1"/>
  </rowBreaks>
  <colBreaks count="2" manualBreakCount="2">
    <brk id="1" max="1048575" man="1"/>
    <brk id="3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:fields xmlns:f="http://schemas.fabasoft.com/folio/2007/fields">
  <f:record ref="">
    <f:field ref="objname" par="" edit="true" text="Jahresstatistik_Ausfuhren_2014-B"/>
    <f:field ref="objsubject" par="" edit="true" text=""/>
    <f:field ref="objcreatedby" par="" text="Lanfranconi, Joël, SECO"/>
    <f:field ref="objcreatedat" par="" text="12.03.2015 09:17:19"/>
    <f:field ref="objchangedby" par="" text="Lanfranconi, Joël, SECO"/>
    <f:field ref="objmodifiedat" par="" text="12.03.2015 09:17:20"/>
    <f:field ref="doc_FSCFOLIO_1_1001_FieldDocumentNumber" par="" text=""/>
    <f:field ref="doc_FSCFOLIO_1_1001_FieldSubject" par="" edit="true" text=""/>
    <f:field ref="FSCFOLIO_1_1001_FieldCurrentUser" par="" text="SECO Joël Lanfranconi"/>
    <f:field ref="CCAPRECONFIG_15_1001_Objektname" par="" edit="true" text="Jahresstatistik_Ausfuhren_2014-B"/>
    <f:field ref="CHPRECONFIG_1_1001_Objektname" par="" edit="true" text="Jahresstatistik_Ausfuhren_2014-B"/>
  </f:record>
  <f:display par="" text="...">
    <f:field ref="CHPRECONFIG_1_1001_Objektname" text="Classe d'objets"/>
    <f:field ref="objcreatedat" text="Créé le/à"/>
    <f:field ref="objcreatedby" text="Créé par"/>
    <f:field ref="objmodifiedat" text="Dernière modification le/à"/>
    <f:field ref="objchangedby" text="Dernière modification par"/>
    <f:field ref="objname" text="Nom"/>
    <f:field ref="CCAPRECONFIG_15_1001_Objektname" text="Nom d'objet"/>
    <f:field ref="objsubject" text="Sujet (un)"/>
    <f:field ref="FSCFOLIO_1_1001_FieldCurrentUser" text="Utilisateur actuel"/>
  </f:display>
  <f:display par="" text="Publipostage">
    <f:field ref="doc_FSCFOLIO_1_1001_FieldDocumentNumber" text="Numéro de document"/>
    <f:field ref="doc_FSCFOLIO_1_1001_FieldSubject" text="Objet"/>
  </f:display>
</f:fields>
</file>

<file path=customXml/itemProps1.xml><?xml version="1.0" encoding="utf-8"?>
<ds:datastoreItem xmlns:ds="http://schemas.openxmlformats.org/officeDocument/2006/customXml" ds:itemID="{4E8A9591-F074-446B-902F-511FF79C122F}">
  <ds:schemaRefs>
    <ds:schemaRef ds:uri="http://schemas.fabasoft.com/folio/2007/field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KM pro Land</vt:lpstr>
      <vt:lpstr>'KM pro Land'!Impression_des_titres</vt:lpstr>
      <vt:lpstr>'KM pro Land'!Zone_d_impression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GPK'04: JAHRESSTATISTIK AUSFUHREN 2004 NACH KATEGORIE UND LAND (STAND: 30.12.2004)</dc:title>
  <dc:subject>TAB</dc:subject>
  <dc:creator>LJO</dc:creator>
  <cp:lastModifiedBy>Lanfranconi Joël SECO</cp:lastModifiedBy>
  <cp:lastPrinted>2019-02-07T11:09:17Z</cp:lastPrinted>
  <dcterms:created xsi:type="dcterms:W3CDTF">2000-09-29T06:35:32Z</dcterms:created>
  <dcterms:modified xsi:type="dcterms:W3CDTF">2019-06-19T07:14:15Z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SC#COOSYSTEM@1.1:Container">
    <vt:lpwstr>COO.2101.104.7.887389</vt:lpwstr>
  </property>
  <property fmtid="{D5CDD505-2E9C-101B-9397-08002B2CF9AE}" pid="3" name="FSC#COOELAK@1.1001:Subject">
    <vt:lpwstr/>
  </property>
  <property fmtid="{D5CDD505-2E9C-101B-9397-08002B2CF9AE}" pid="4" name="FSC#COOELAK@1.1001:FileReference">
    <vt:lpwstr>844.6-00001</vt:lpwstr>
  </property>
  <property fmtid="{D5CDD505-2E9C-101B-9397-08002B2CF9AE}" pid="5" name="FSC#COOELAK@1.1001:FileRefYear">
    <vt:lpwstr>2015</vt:lpwstr>
  </property>
  <property fmtid="{D5CDD505-2E9C-101B-9397-08002B2CF9AE}" pid="6" name="FSC#COOELAK@1.1001:FileRefOrdinal">
    <vt:lpwstr>1</vt:lpwstr>
  </property>
  <property fmtid="{D5CDD505-2E9C-101B-9397-08002B2CF9AE}" pid="7" name="FSC#COOELAK@1.1001:FileRefOU">
    <vt:lpwstr>BWRP / SECO</vt:lpwstr>
  </property>
  <property fmtid="{D5CDD505-2E9C-101B-9397-08002B2CF9AE}" pid="8" name="FSC#COOELAK@1.1001:Organization">
    <vt:lpwstr/>
  </property>
  <property fmtid="{D5CDD505-2E9C-101B-9397-08002B2CF9AE}" pid="9" name="FSC#COOELAK@1.1001:Owner">
    <vt:lpwstr>Lanfranconi Joël, SECO</vt:lpwstr>
  </property>
  <property fmtid="{D5CDD505-2E9C-101B-9397-08002B2CF9AE}" pid="10" name="FSC#COOELAK@1.1001:OwnerExtension">
    <vt:lpwstr>+41 58 464 50 69</vt:lpwstr>
  </property>
  <property fmtid="{D5CDD505-2E9C-101B-9397-08002B2CF9AE}" pid="11" name="FSC#COOELAK@1.1001:OwnerFaxExtension">
    <vt:lpwstr>+41 58 464 50 19</vt:lpwstr>
  </property>
  <property fmtid="{D5CDD505-2E9C-101B-9397-08002B2CF9AE}" pid="12" name="FSC#COOELAK@1.1001:DispatchedBy">
    <vt:lpwstr/>
  </property>
  <property fmtid="{D5CDD505-2E9C-101B-9397-08002B2CF9AE}" pid="13" name="FSC#COOELAK@1.1001:DispatchedAt">
    <vt:lpwstr/>
  </property>
  <property fmtid="{D5CDD505-2E9C-101B-9397-08002B2CF9AE}" pid="14" name="FSC#COOELAK@1.1001:ApprovedBy">
    <vt:lpwstr/>
  </property>
  <property fmtid="{D5CDD505-2E9C-101B-9397-08002B2CF9AE}" pid="15" name="FSC#COOELAK@1.1001:ApprovedAt">
    <vt:lpwstr/>
  </property>
  <property fmtid="{D5CDD505-2E9C-101B-9397-08002B2CF9AE}" pid="16" name="FSC#COOELAK@1.1001:Department">
    <vt:lpwstr>Maîtrise des armements et politique de la maîtrise des armements (BWRP / SECO)</vt:lpwstr>
  </property>
  <property fmtid="{D5CDD505-2E9C-101B-9397-08002B2CF9AE}" pid="17" name="FSC#COOELAK@1.1001:CreatedAt">
    <vt:lpwstr>12.03.2015</vt:lpwstr>
  </property>
  <property fmtid="{D5CDD505-2E9C-101B-9397-08002B2CF9AE}" pid="18" name="FSC#COOELAK@1.1001:OU">
    <vt:lpwstr>Maîtrise des armements et politique de la maîtrise des armements (BWRP / SECO)</vt:lpwstr>
  </property>
  <property fmtid="{D5CDD505-2E9C-101B-9397-08002B2CF9AE}" pid="19" name="FSC#COOELAK@1.1001:Priority">
    <vt:lpwstr> ()</vt:lpwstr>
  </property>
  <property fmtid="{D5CDD505-2E9C-101B-9397-08002B2CF9AE}" pid="20" name="FSC#COOELAK@1.1001:ObjBarCode">
    <vt:lpwstr>*COO.2101.104.7.887389*</vt:lpwstr>
  </property>
  <property fmtid="{D5CDD505-2E9C-101B-9397-08002B2CF9AE}" pid="21" name="FSC#COOELAK@1.1001:RefBarCode">
    <vt:lpwstr>*COO.2101.104.4.887389*</vt:lpwstr>
  </property>
  <property fmtid="{D5CDD505-2E9C-101B-9397-08002B2CF9AE}" pid="22" name="FSC#COOELAK@1.1001:FileRefBarCode">
    <vt:lpwstr>*844.6-00001*</vt:lpwstr>
  </property>
  <property fmtid="{D5CDD505-2E9C-101B-9397-08002B2CF9AE}" pid="23" name="FSC#COOELAK@1.1001:ExternalRef">
    <vt:lpwstr/>
  </property>
  <property fmtid="{D5CDD505-2E9C-101B-9397-08002B2CF9AE}" pid="24" name="FSC#EVDCFG@15.1400:Dossierref">
    <vt:lpwstr>844.6-00001</vt:lpwstr>
  </property>
  <property fmtid="{D5CDD505-2E9C-101B-9397-08002B2CF9AE}" pid="25" name="FSC#EVDCFG@15.1400:FileRespEmail">
    <vt:lpwstr/>
  </property>
  <property fmtid="{D5CDD505-2E9C-101B-9397-08002B2CF9AE}" pid="26" name="FSC#EVDCFG@15.1400:FileRespFax">
    <vt:lpwstr/>
  </property>
  <property fmtid="{D5CDD505-2E9C-101B-9397-08002B2CF9AE}" pid="27" name="FSC#EVDCFG@15.1400:FileRespHome">
    <vt:lpwstr/>
  </property>
  <property fmtid="{D5CDD505-2E9C-101B-9397-08002B2CF9AE}" pid="28" name="FSC#EVDCFG@15.1400:FileResponsible">
    <vt:lpwstr/>
  </property>
  <property fmtid="{D5CDD505-2E9C-101B-9397-08002B2CF9AE}" pid="29" name="FSC#EVDCFG@15.1400:FileRespOrg">
    <vt:lpwstr>Maîtrise des armements et politique de la maîtrise des armements</vt:lpwstr>
  </property>
  <property fmtid="{D5CDD505-2E9C-101B-9397-08002B2CF9AE}" pid="30" name="FSC#EVDCFG@15.1400:FileRespOrgHome">
    <vt:lpwstr/>
  </property>
  <property fmtid="{D5CDD505-2E9C-101B-9397-08002B2CF9AE}" pid="31" name="FSC#EVDCFG@15.1400:FileRespOrgStreet">
    <vt:lpwstr/>
  </property>
  <property fmtid="{D5CDD505-2E9C-101B-9397-08002B2CF9AE}" pid="32" name="FSC#EVDCFG@15.1400:FileRespOrgZipCode">
    <vt:lpwstr/>
  </property>
  <property fmtid="{D5CDD505-2E9C-101B-9397-08002B2CF9AE}" pid="33" name="FSC#EVDCFG@15.1400:FileRespshortsign">
    <vt:lpwstr/>
  </property>
  <property fmtid="{D5CDD505-2E9C-101B-9397-08002B2CF9AE}" pid="34" name="FSC#EVDCFG@15.1400:FileRespStreet">
    <vt:lpwstr/>
  </property>
  <property fmtid="{D5CDD505-2E9C-101B-9397-08002B2CF9AE}" pid="35" name="FSC#EVDCFG@15.1400:FileRespTel">
    <vt:lpwstr/>
  </property>
  <property fmtid="{D5CDD505-2E9C-101B-9397-08002B2CF9AE}" pid="36" name="FSC#EVDCFG@15.1400:FileRespZipCode">
    <vt:lpwstr/>
  </property>
  <property fmtid="{D5CDD505-2E9C-101B-9397-08002B2CF9AE}" pid="37" name="FSC#EVDCFG@15.1400:OutAttachElectr">
    <vt:lpwstr/>
  </property>
  <property fmtid="{D5CDD505-2E9C-101B-9397-08002B2CF9AE}" pid="38" name="FSC#EVDCFG@15.1400:OutAttachPhysic">
    <vt:lpwstr/>
  </property>
  <property fmtid="{D5CDD505-2E9C-101B-9397-08002B2CF9AE}" pid="39" name="FSC#EVDCFG@15.1400:SignAcceptedDraft1">
    <vt:lpwstr/>
  </property>
  <property fmtid="{D5CDD505-2E9C-101B-9397-08002B2CF9AE}" pid="40" name="FSC#EVDCFG@15.1400:SignAcceptedDraft1FR">
    <vt:lpwstr/>
  </property>
  <property fmtid="{D5CDD505-2E9C-101B-9397-08002B2CF9AE}" pid="41" name="FSC#EVDCFG@15.1400:SignAcceptedDraft2">
    <vt:lpwstr/>
  </property>
  <property fmtid="{D5CDD505-2E9C-101B-9397-08002B2CF9AE}" pid="42" name="FSC#EVDCFG@15.1400:SignAcceptedDraft2FR">
    <vt:lpwstr/>
  </property>
  <property fmtid="{D5CDD505-2E9C-101B-9397-08002B2CF9AE}" pid="43" name="FSC#EVDCFG@15.1400:SignApproved1">
    <vt:lpwstr/>
  </property>
  <property fmtid="{D5CDD505-2E9C-101B-9397-08002B2CF9AE}" pid="44" name="FSC#EVDCFG@15.1400:SignApproved1FR">
    <vt:lpwstr/>
  </property>
  <property fmtid="{D5CDD505-2E9C-101B-9397-08002B2CF9AE}" pid="45" name="FSC#EVDCFG@15.1400:SignApproved2">
    <vt:lpwstr/>
  </property>
  <property fmtid="{D5CDD505-2E9C-101B-9397-08002B2CF9AE}" pid="46" name="FSC#EVDCFG@15.1400:SignApproved2FR">
    <vt:lpwstr/>
  </property>
  <property fmtid="{D5CDD505-2E9C-101B-9397-08002B2CF9AE}" pid="47" name="FSC#EVDCFG@15.1400:SubDossierBarCode">
    <vt:lpwstr/>
  </property>
  <property fmtid="{D5CDD505-2E9C-101B-9397-08002B2CF9AE}" pid="48" name="FSC#EVDCFG@15.1400:Subject">
    <vt:lpwstr/>
  </property>
  <property fmtid="{D5CDD505-2E9C-101B-9397-08002B2CF9AE}" pid="49" name="FSC#EVDCFG@15.1400:Title">
    <vt:lpwstr>Jahresstatistik_Ausfuhren_2014-B</vt:lpwstr>
  </property>
  <property fmtid="{D5CDD505-2E9C-101B-9397-08002B2CF9AE}" pid="50" name="FSC#EVDCFG@15.1400:UserFunction">
    <vt:lpwstr/>
  </property>
  <property fmtid="{D5CDD505-2E9C-101B-9397-08002B2CF9AE}" pid="51" name="FSC#EVDCFG@15.1400:SalutationEnglish">
    <vt:lpwstr>Bilateral Economic Relations_x000d_
Arms control and arms control policy</vt:lpwstr>
  </property>
  <property fmtid="{D5CDD505-2E9C-101B-9397-08002B2CF9AE}" pid="52" name="FSC#EVDCFG@15.1400:SalutationFrench">
    <vt:lpwstr>Relations économiques bilatérales_x000d_
Maîtrise des armements et politique de la maîtrise des armements</vt:lpwstr>
  </property>
  <property fmtid="{D5CDD505-2E9C-101B-9397-08002B2CF9AE}" pid="53" name="FSC#EVDCFG@15.1400:SalutationGerman">
    <vt:lpwstr>Bilaterale Wirtschaftsbeziehungen_x000d_
Rüstungskontrolle und Rüstungskontrollpolitik</vt:lpwstr>
  </property>
  <property fmtid="{D5CDD505-2E9C-101B-9397-08002B2CF9AE}" pid="54" name="FSC#EVDCFG@15.1400:SalutationItalian">
    <vt:lpwstr>Relazioni economiche bilaterali_x000d_
Controllo degli armamenti e politica del controllo degli armamenti</vt:lpwstr>
  </property>
  <property fmtid="{D5CDD505-2E9C-101B-9397-08002B2CF9AE}" pid="55" name="FSC#EVDCFG@15.1400:SalutationEnglishUser">
    <vt:lpwstr/>
  </property>
  <property fmtid="{D5CDD505-2E9C-101B-9397-08002B2CF9AE}" pid="56" name="FSC#EVDCFG@15.1400:SalutationFrenchUser">
    <vt:lpwstr/>
  </property>
  <property fmtid="{D5CDD505-2E9C-101B-9397-08002B2CF9AE}" pid="57" name="FSC#EVDCFG@15.1400:SalutationGermanUser">
    <vt:lpwstr/>
  </property>
  <property fmtid="{D5CDD505-2E9C-101B-9397-08002B2CF9AE}" pid="58" name="FSC#EVDCFG@15.1400:SalutationItalianUser">
    <vt:lpwstr/>
  </property>
  <property fmtid="{D5CDD505-2E9C-101B-9397-08002B2CF9AE}" pid="59" name="FSC#COOELAK@1.1001:IncomingNumber">
    <vt:lpwstr/>
  </property>
  <property fmtid="{D5CDD505-2E9C-101B-9397-08002B2CF9AE}" pid="60" name="FSC#COOELAK@1.1001:IncomingSubject">
    <vt:lpwstr/>
  </property>
  <property fmtid="{D5CDD505-2E9C-101B-9397-08002B2CF9AE}" pid="61" name="FSC#COOELAK@1.1001:ProcessResponsible">
    <vt:lpwstr/>
  </property>
  <property fmtid="{D5CDD505-2E9C-101B-9397-08002B2CF9AE}" pid="62" name="FSC#COOELAK@1.1001:ProcessResponsiblePhone">
    <vt:lpwstr/>
  </property>
  <property fmtid="{D5CDD505-2E9C-101B-9397-08002B2CF9AE}" pid="63" name="FSC#COOELAK@1.1001:ProcessResponsibleMail">
    <vt:lpwstr/>
  </property>
  <property fmtid="{D5CDD505-2E9C-101B-9397-08002B2CF9AE}" pid="64" name="FSC#COOELAK@1.1001:ProcessResponsibleFax">
    <vt:lpwstr/>
  </property>
  <property fmtid="{D5CDD505-2E9C-101B-9397-08002B2CF9AE}" pid="65" name="FSC#COOELAK@1.1001:ApproverFirstName">
    <vt:lpwstr/>
  </property>
  <property fmtid="{D5CDD505-2E9C-101B-9397-08002B2CF9AE}" pid="66" name="FSC#COOELAK@1.1001:ApproverSurName">
    <vt:lpwstr/>
  </property>
  <property fmtid="{D5CDD505-2E9C-101B-9397-08002B2CF9AE}" pid="67" name="FSC#COOELAK@1.1001:ApproverTitle">
    <vt:lpwstr/>
  </property>
  <property fmtid="{D5CDD505-2E9C-101B-9397-08002B2CF9AE}" pid="68" name="FSC#COOELAK@1.1001:ExternalDate">
    <vt:lpwstr/>
  </property>
  <property fmtid="{D5CDD505-2E9C-101B-9397-08002B2CF9AE}" pid="69" name="FSC#COOELAK@1.1001:SettlementApprovedAt">
    <vt:lpwstr/>
  </property>
  <property fmtid="{D5CDD505-2E9C-101B-9397-08002B2CF9AE}" pid="70" name="FSC#COOELAK@1.1001:BaseNumber">
    <vt:lpwstr>844.6</vt:lpwstr>
  </property>
  <property fmtid="{D5CDD505-2E9C-101B-9397-08002B2CF9AE}" pid="71" name="FSC#ELAKGOV@1.1001:PersonalSubjGender">
    <vt:lpwstr/>
  </property>
  <property fmtid="{D5CDD505-2E9C-101B-9397-08002B2CF9AE}" pid="72" name="FSC#ELAKGOV@1.1001:PersonalSubjFirstName">
    <vt:lpwstr/>
  </property>
  <property fmtid="{D5CDD505-2E9C-101B-9397-08002B2CF9AE}" pid="73" name="FSC#ELAKGOV@1.1001:PersonalSubjSurName">
    <vt:lpwstr/>
  </property>
  <property fmtid="{D5CDD505-2E9C-101B-9397-08002B2CF9AE}" pid="74" name="FSC#ELAKGOV@1.1001:PersonalSubjSalutation">
    <vt:lpwstr/>
  </property>
  <property fmtid="{D5CDD505-2E9C-101B-9397-08002B2CF9AE}" pid="75" name="FSC#ELAKGOV@1.1001:PersonalSubjAddress">
    <vt:lpwstr/>
  </property>
  <property fmtid="{D5CDD505-2E9C-101B-9397-08002B2CF9AE}" pid="76" name="FSC#EVDCFG@15.1400:PositionNumber">
    <vt:lpwstr/>
  </property>
  <property fmtid="{D5CDD505-2E9C-101B-9397-08002B2CF9AE}" pid="77" name="FSC#EVDCFG@15.1400:FileRespOrgShortname">
    <vt:lpwstr>BWRP / SECO</vt:lpwstr>
  </property>
  <property fmtid="{D5CDD505-2E9C-101B-9397-08002B2CF9AE}" pid="82" name="FSC#EVDCFG@15.1400:UserInCharge">
    <vt:lpwstr/>
  </property>
  <property fmtid="{D5CDD505-2E9C-101B-9397-08002B2CF9AE}" pid="84" name="FSC#COOELAK@1.1001:CurrentUserRolePos">
    <vt:lpwstr>Spécialiste</vt:lpwstr>
  </property>
  <property fmtid="{D5CDD505-2E9C-101B-9397-08002B2CF9AE}" pid="85" name="FSC#COOELAK@1.1001:CurrentUserEmail">
    <vt:lpwstr>joel.lanfranconi@seco.admin.ch</vt:lpwstr>
  </property>
  <property fmtid="{D5CDD505-2E9C-101B-9397-08002B2CF9AE}" pid="86" name="FSC#EVDCFG@15.1400:ActualVersionNumber">
    <vt:lpwstr>1</vt:lpwstr>
  </property>
  <property fmtid="{D5CDD505-2E9C-101B-9397-08002B2CF9AE}" pid="87" name="FSC#EVDCFG@15.1400:ActualVersionCreatedAt">
    <vt:lpwstr>2015-03-12T09:17:19</vt:lpwstr>
  </property>
  <property fmtid="{D5CDD505-2E9C-101B-9397-08002B2CF9AE}" pid="88" name="FSC#EVDCFG@15.1400:ResponsibleBureau_DE">
    <vt:lpwstr>Staatssekretariat für Wirtschaft SECO</vt:lpwstr>
  </property>
  <property fmtid="{D5CDD505-2E9C-101B-9397-08002B2CF9AE}" pid="89" name="FSC#EVDCFG@15.1400:ResponsibleBureau_EN">
    <vt:lpwstr>State Secretariat for Economic Affairs SECO</vt:lpwstr>
  </property>
  <property fmtid="{D5CDD505-2E9C-101B-9397-08002B2CF9AE}" pid="90" name="FSC#EVDCFG@15.1400:ResponsibleBureau_FR">
    <vt:lpwstr>Secrétariat d'Etat à l'économie SECO</vt:lpwstr>
  </property>
  <property fmtid="{D5CDD505-2E9C-101B-9397-08002B2CF9AE}" pid="91" name="FSC#EVDCFG@15.1400:ResponsibleBureau_IT">
    <vt:lpwstr>Segreteria di Stato dell'economia SECO</vt:lpwstr>
  </property>
  <property fmtid="{D5CDD505-2E9C-101B-9397-08002B2CF9AE}" pid="92" name="FSC#EVDCFG@15.1400:UserInChargeUserTitle">
    <vt:lpwstr/>
  </property>
  <property fmtid="{D5CDD505-2E9C-101B-9397-08002B2CF9AE}" pid="93" name="FSC#EVDCFG@15.1400:UserInChargeUserName">
    <vt:lpwstr/>
  </property>
  <property fmtid="{D5CDD505-2E9C-101B-9397-08002B2CF9AE}" pid="94" name="FSC#EVDCFG@15.1400:UserInChargeUserFirstname">
    <vt:lpwstr/>
  </property>
  <property fmtid="{D5CDD505-2E9C-101B-9397-08002B2CF9AE}" pid="95" name="FSC#EVDCFG@15.1400:UserInChargeUserEnvSalutationDE">
    <vt:lpwstr/>
  </property>
  <property fmtid="{D5CDD505-2E9C-101B-9397-08002B2CF9AE}" pid="96" name="FSC#EVDCFG@15.1400:UserInChargeUserEnvSalutationEN">
    <vt:lpwstr/>
  </property>
  <property fmtid="{D5CDD505-2E9C-101B-9397-08002B2CF9AE}" pid="97" name="FSC#EVDCFG@15.1400:UserInChargeUserEnvSalutationFR">
    <vt:lpwstr/>
  </property>
  <property fmtid="{D5CDD505-2E9C-101B-9397-08002B2CF9AE}" pid="98" name="FSC#EVDCFG@15.1400:UserInChargeUserEnvSalutationIT">
    <vt:lpwstr/>
  </property>
  <property fmtid="{D5CDD505-2E9C-101B-9397-08002B2CF9AE}" pid="99" name="FSC#EVDCFG@15.1400:FilerespUserPersonTitle">
    <vt:lpwstr/>
  </property>
  <property fmtid="{D5CDD505-2E9C-101B-9397-08002B2CF9AE}" pid="100" name="FSC#EVDCFG@15.1400:Address">
    <vt:lpwstr/>
  </property>
  <property fmtid="{D5CDD505-2E9C-101B-9397-08002B2CF9AE}" pid="101" name="FSC#EVDCFG@15.1400:DocumentID">
    <vt:lpwstr/>
  </property>
  <property fmtid="{D5CDD505-2E9C-101B-9397-08002B2CF9AE}" pid="102" name="FSC#EVDCFG@15.1400:DossierBarCode">
    <vt:lpwstr/>
  </property>
  <property fmtid="{D5CDD505-2E9C-101B-9397-08002B2CF9AE}" pid="103" name="FSC#EVDCFG@15.1400:ResponsibleEditorFirstname">
    <vt:lpwstr/>
  </property>
  <property fmtid="{D5CDD505-2E9C-101B-9397-08002B2CF9AE}" pid="104" name="FSC#EVDCFG@15.1400:ResponsibleEditorSurname">
    <vt:lpwstr/>
  </property>
  <property fmtid="{D5CDD505-2E9C-101B-9397-08002B2CF9AE}" pid="105" name="FSC#EVDCFG@15.1400:GroupTitle">
    <vt:lpwstr>Maîtrise des armements et politique de la maîtrise des armements</vt:lpwstr>
  </property>
  <property fmtid="{D5CDD505-2E9C-101B-9397-08002B2CF9AE}" pid="106" name="FSC#ATSTATECFG@1.1001:Office">
    <vt:lpwstr/>
  </property>
  <property fmtid="{D5CDD505-2E9C-101B-9397-08002B2CF9AE}" pid="107" name="FSC#ATSTATECFG@1.1001:Agent">
    <vt:lpwstr/>
  </property>
  <property fmtid="{D5CDD505-2E9C-101B-9397-08002B2CF9AE}" pid="108" name="FSC#ATSTATECFG@1.1001:AgentPhone">
    <vt:lpwstr/>
  </property>
  <property fmtid="{D5CDD505-2E9C-101B-9397-08002B2CF9AE}" pid="109" name="FSC#ATSTATECFG@1.1001:DepartmentFax">
    <vt:lpwstr/>
  </property>
  <property fmtid="{D5CDD505-2E9C-101B-9397-08002B2CF9AE}" pid="110" name="FSC#ATSTATECFG@1.1001:DepartmentEmail">
    <vt:lpwstr/>
  </property>
  <property fmtid="{D5CDD505-2E9C-101B-9397-08002B2CF9AE}" pid="111" name="FSC#ATSTATECFG@1.1001:SubfileDate">
    <vt:lpwstr/>
  </property>
  <property fmtid="{D5CDD505-2E9C-101B-9397-08002B2CF9AE}" pid="112" name="FSC#ATSTATECFG@1.1001:SubfileSubject">
    <vt:lpwstr>Jahresstatistik_Ausfuhren_2014-B</vt:lpwstr>
  </property>
  <property fmtid="{D5CDD505-2E9C-101B-9397-08002B2CF9AE}" pid="113" name="FSC#ATSTATECFG@1.1001:DepartmentZipCode">
    <vt:lpwstr/>
  </property>
  <property fmtid="{D5CDD505-2E9C-101B-9397-08002B2CF9AE}" pid="114" name="FSC#ATSTATECFG@1.1001:DepartmentCountry">
    <vt:lpwstr/>
  </property>
  <property fmtid="{D5CDD505-2E9C-101B-9397-08002B2CF9AE}" pid="115" name="FSC#ATSTATECFG@1.1001:DepartmentCity">
    <vt:lpwstr/>
  </property>
  <property fmtid="{D5CDD505-2E9C-101B-9397-08002B2CF9AE}" pid="116" name="FSC#ATSTATECFG@1.1001:DepartmentStreet">
    <vt:lpwstr/>
  </property>
  <property fmtid="{D5CDD505-2E9C-101B-9397-08002B2CF9AE}" pid="117" name="FSC#ATSTATECFG@1.1001:DepartmentDVR">
    <vt:lpwstr/>
  </property>
  <property fmtid="{D5CDD505-2E9C-101B-9397-08002B2CF9AE}" pid="118" name="FSC#ATSTATECFG@1.1001:DepartmentUID">
    <vt:lpwstr/>
  </property>
  <property fmtid="{D5CDD505-2E9C-101B-9397-08002B2CF9AE}" pid="119" name="FSC#ATSTATECFG@1.1001:SubfileReference">
    <vt:lpwstr>844.6-00001/00001</vt:lpwstr>
  </property>
  <property fmtid="{D5CDD505-2E9C-101B-9397-08002B2CF9AE}" pid="120" name="FSC#ATSTATECFG@1.1001:Clause">
    <vt:lpwstr/>
  </property>
  <property fmtid="{D5CDD505-2E9C-101B-9397-08002B2CF9AE}" pid="121" name="FSC#ATSTATECFG@1.1001:ApprovedSignature">
    <vt:lpwstr/>
  </property>
  <property fmtid="{D5CDD505-2E9C-101B-9397-08002B2CF9AE}" pid="122" name="FSC#ATSTATECFG@1.1001:BankAccount">
    <vt:lpwstr/>
  </property>
  <property fmtid="{D5CDD505-2E9C-101B-9397-08002B2CF9AE}" pid="123" name="FSC#ATSTATECFG@1.1001:BankAccountOwner">
    <vt:lpwstr/>
  </property>
  <property fmtid="{D5CDD505-2E9C-101B-9397-08002B2CF9AE}" pid="124" name="FSC#ATSTATECFG@1.1001:BankInstitute">
    <vt:lpwstr/>
  </property>
  <property fmtid="{D5CDD505-2E9C-101B-9397-08002B2CF9AE}" pid="125" name="FSC#ATSTATECFG@1.1001:BankAccountID">
    <vt:lpwstr/>
  </property>
  <property fmtid="{D5CDD505-2E9C-101B-9397-08002B2CF9AE}" pid="126" name="FSC#ATSTATECFG@1.1001:BankAccountIBAN">
    <vt:lpwstr/>
  </property>
  <property fmtid="{D5CDD505-2E9C-101B-9397-08002B2CF9AE}" pid="127" name="FSC#ATSTATECFG@1.1001:BankAccountBIC">
    <vt:lpwstr/>
  </property>
  <property fmtid="{D5CDD505-2E9C-101B-9397-08002B2CF9AE}" pid="128" name="FSC#ATSTATECFG@1.1001:BankName">
    <vt:lpwstr/>
  </property>
  <property fmtid="{D5CDD505-2E9C-101B-9397-08002B2CF9AE}" pid="129" name="FSC#CCAPRECONFIG@15.1001:AddrAnrede">
    <vt:lpwstr/>
  </property>
  <property fmtid="{D5CDD505-2E9C-101B-9397-08002B2CF9AE}" pid="130" name="FSC#CCAPRECONFIG@15.1001:AddrTitel">
    <vt:lpwstr/>
  </property>
  <property fmtid="{D5CDD505-2E9C-101B-9397-08002B2CF9AE}" pid="131" name="FSC#CCAPRECONFIG@15.1001:AddrNachgestellter_Titel">
    <vt:lpwstr/>
  </property>
  <property fmtid="{D5CDD505-2E9C-101B-9397-08002B2CF9AE}" pid="132" name="FSC#CCAPRECONFIG@15.1001:AddrVorname">
    <vt:lpwstr/>
  </property>
  <property fmtid="{D5CDD505-2E9C-101B-9397-08002B2CF9AE}" pid="133" name="FSC#CCAPRECONFIG@15.1001:AddrNachname">
    <vt:lpwstr/>
  </property>
  <property fmtid="{D5CDD505-2E9C-101B-9397-08002B2CF9AE}" pid="134" name="FSC#CCAPRECONFIG@15.1001:AddrzH">
    <vt:lpwstr/>
  </property>
  <property fmtid="{D5CDD505-2E9C-101B-9397-08002B2CF9AE}" pid="135" name="FSC#CCAPRECONFIG@15.1001:AddrGeschlecht">
    <vt:lpwstr/>
  </property>
  <property fmtid="{D5CDD505-2E9C-101B-9397-08002B2CF9AE}" pid="136" name="FSC#CCAPRECONFIG@15.1001:AddrStrasse">
    <vt:lpwstr/>
  </property>
  <property fmtid="{D5CDD505-2E9C-101B-9397-08002B2CF9AE}" pid="137" name="FSC#CCAPRECONFIG@15.1001:AddrHausnummer">
    <vt:lpwstr/>
  </property>
  <property fmtid="{D5CDD505-2E9C-101B-9397-08002B2CF9AE}" pid="138" name="FSC#CCAPRECONFIG@15.1001:AddrStiege">
    <vt:lpwstr/>
  </property>
  <property fmtid="{D5CDD505-2E9C-101B-9397-08002B2CF9AE}" pid="139" name="FSC#CCAPRECONFIG@15.1001:AddrTuer">
    <vt:lpwstr/>
  </property>
  <property fmtid="{D5CDD505-2E9C-101B-9397-08002B2CF9AE}" pid="140" name="FSC#CCAPRECONFIG@15.1001:AddrPostfach">
    <vt:lpwstr/>
  </property>
  <property fmtid="{D5CDD505-2E9C-101B-9397-08002B2CF9AE}" pid="141" name="FSC#CCAPRECONFIG@15.1001:AddrPostleitzahl">
    <vt:lpwstr/>
  </property>
  <property fmtid="{D5CDD505-2E9C-101B-9397-08002B2CF9AE}" pid="142" name="FSC#CCAPRECONFIG@15.1001:AddrOrt">
    <vt:lpwstr/>
  </property>
  <property fmtid="{D5CDD505-2E9C-101B-9397-08002B2CF9AE}" pid="143" name="FSC#CCAPRECONFIG@15.1001:AddrLand">
    <vt:lpwstr/>
  </property>
  <property fmtid="{D5CDD505-2E9C-101B-9397-08002B2CF9AE}" pid="144" name="FSC#CCAPRECONFIG@15.1001:AddrEmail">
    <vt:lpwstr/>
  </property>
  <property fmtid="{D5CDD505-2E9C-101B-9397-08002B2CF9AE}" pid="145" name="FSC#CCAPRECONFIG@15.1001:AddrAdresse">
    <vt:lpwstr/>
  </property>
  <property fmtid="{D5CDD505-2E9C-101B-9397-08002B2CF9AE}" pid="146" name="FSC#CCAPRECONFIG@15.1001:AddrFax">
    <vt:lpwstr/>
  </property>
  <property fmtid="{D5CDD505-2E9C-101B-9397-08002B2CF9AE}" pid="147" name="FSC#CCAPRECONFIG@15.1001:AddrOrganisationsname">
    <vt:lpwstr/>
  </property>
  <property fmtid="{D5CDD505-2E9C-101B-9397-08002B2CF9AE}" pid="148" name="FSC#CCAPRECONFIG@15.1001:AddrOrganisationskurzname">
    <vt:lpwstr/>
  </property>
  <property fmtid="{D5CDD505-2E9C-101B-9397-08002B2CF9AE}" pid="149" name="FSC#CCAPRECONFIG@15.1001:AddrAbschriftsbemerkung">
    <vt:lpwstr/>
  </property>
  <property fmtid="{D5CDD505-2E9C-101B-9397-08002B2CF9AE}" pid="150" name="FSC#CCAPRECONFIG@15.1001:AddrName_Zeile_2">
    <vt:lpwstr/>
  </property>
  <property fmtid="{D5CDD505-2E9C-101B-9397-08002B2CF9AE}" pid="151" name="FSC#CCAPRECONFIG@15.1001:AddrName_Zeile_3">
    <vt:lpwstr/>
  </property>
  <property fmtid="{D5CDD505-2E9C-101B-9397-08002B2CF9AE}" pid="152" name="FSC#CCAPRECONFIG@15.1001:AddrPostalischeAdresse">
    <vt:lpwstr/>
  </property>
  <property fmtid="{D5CDD505-2E9C-101B-9397-08002B2CF9AE}" pid="153" name="FSC#FSCFOLIO@1.1001:docpropproject">
    <vt:lpwstr/>
  </property>
</Properties>
</file>